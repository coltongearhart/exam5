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tongearhart/Desktop/exam5/files/"/>
    </mc:Choice>
  </mc:AlternateContent>
  <xr:revisionPtr revIDLastSave="0" documentId="13_ncr:1_{4AC2927A-962F-3041-A061-A20446BC0AE3}" xr6:coauthVersionLast="47" xr6:coauthVersionMax="47" xr10:uidLastSave="{00000000-0000-0000-0000-000000000000}"/>
  <bookViews>
    <workbookView xWindow="1100" yWindow="820" windowWidth="28040" windowHeight="17440" activeTab="2" xr2:uid="{BB8505BC-BCB7-B340-A120-C046C43AD7BD}"/>
  </bookViews>
  <sheets>
    <sheet name="2.2.1" sheetId="1" r:id="rId1"/>
    <sheet name="2.2.2" sheetId="2" r:id="rId2"/>
    <sheet name="2.3.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" i="3" l="1"/>
  <c r="K20" i="3"/>
  <c r="L20" i="3"/>
  <c r="J21" i="3"/>
  <c r="J22" i="3"/>
  <c r="J20" i="3"/>
  <c r="K14" i="3"/>
  <c r="J14" i="3"/>
  <c r="J15" i="3"/>
  <c r="K13" i="3"/>
  <c r="L13" i="3"/>
  <c r="J13" i="3"/>
  <c r="J8" i="3"/>
  <c r="K7" i="3"/>
  <c r="J7" i="3"/>
  <c r="K6" i="3"/>
  <c r="L6" i="3"/>
  <c r="J6" i="3"/>
  <c r="AV61" i="2"/>
  <c r="AX60" i="2" s="1"/>
  <c r="AZ60" i="2" s="1"/>
  <c r="AV60" i="2"/>
  <c r="AN39" i="2"/>
  <c r="AN46" i="2"/>
  <c r="AT62" i="2"/>
  <c r="AT61" i="2"/>
  <c r="AT60" i="2"/>
  <c r="AU56" i="2"/>
  <c r="AU55" i="2"/>
  <c r="AF46" i="2"/>
  <c r="AH39" i="2"/>
  <c r="AH40" i="2" s="1"/>
  <c r="AF39" i="2"/>
  <c r="AG35" i="2"/>
  <c r="AG34" i="2"/>
  <c r="AG33" i="2"/>
  <c r="AF41" i="2" s="1"/>
  <c r="AF47" i="2" l="1"/>
  <c r="AF48" i="2"/>
  <c r="AF49" i="2"/>
  <c r="AF42" i="2"/>
  <c r="AF40" i="2"/>
  <c r="AK39" i="2" s="1"/>
  <c r="AK46" i="2"/>
  <c r="N27" i="2"/>
  <c r="N26" i="2"/>
  <c r="N25" i="2"/>
  <c r="O21" i="2"/>
  <c r="O20" i="2"/>
  <c r="H18" i="2"/>
  <c r="G18" i="2"/>
  <c r="I18" i="2" s="1"/>
  <c r="H17" i="2"/>
  <c r="G17" i="2"/>
  <c r="H16" i="2"/>
  <c r="G16" i="2"/>
  <c r="I16" i="2" s="1"/>
  <c r="H15" i="2"/>
  <c r="G15" i="2"/>
  <c r="I15" i="2" s="1"/>
  <c r="H14" i="2"/>
  <c r="G14" i="2"/>
  <c r="I14" i="2" s="1"/>
  <c r="H13" i="2"/>
  <c r="G13" i="2"/>
  <c r="I13" i="2" s="1"/>
  <c r="J13" i="1"/>
  <c r="K14" i="1"/>
  <c r="K11" i="1"/>
  <c r="K12" i="1"/>
  <c r="K13" i="1"/>
  <c r="K10" i="1"/>
  <c r="J11" i="1"/>
  <c r="J12" i="1"/>
  <c r="H19" i="1"/>
  <c r="J14" i="1" s="1"/>
  <c r="H18" i="1"/>
  <c r="K9" i="1" s="1"/>
  <c r="E19" i="1"/>
  <c r="E18" i="1"/>
  <c r="T25" i="2" l="1"/>
  <c r="X25" i="2" s="1"/>
  <c r="I17" i="2"/>
  <c r="S25" i="2"/>
  <c r="V25" i="2"/>
  <c r="Z25" i="2" s="1"/>
  <c r="U25" i="2"/>
  <c r="Y25" i="2" s="1"/>
  <c r="W25" i="2"/>
  <c r="I19" i="2"/>
  <c r="J9" i="1"/>
  <c r="J10" i="1"/>
  <c r="K8" i="1"/>
  <c r="K15" i="1" s="1"/>
  <c r="K18" i="1" s="1"/>
  <c r="J8" i="1"/>
  <c r="J15" i="1" s="1"/>
</calcChain>
</file>

<file path=xl/sharedStrings.xml><?xml version="1.0" encoding="utf-8"?>
<sst xmlns="http://schemas.openxmlformats.org/spreadsheetml/2006/main" count="171" uniqueCount="96">
  <si>
    <t>Ratio to SAWW</t>
  </si>
  <si>
    <t># of Workers</t>
  </si>
  <si>
    <t>Total Weekly Wages</t>
  </si>
  <si>
    <t>&lt;50%</t>
  </si>
  <si>
    <t>50-60%</t>
  </si>
  <si>
    <t>60-75%</t>
  </si>
  <si>
    <t>75-100%</t>
  </si>
  <si>
    <t>100-125%</t>
  </si>
  <si>
    <t>125-150%</t>
  </si>
  <si>
    <t>&gt;150%</t>
  </si>
  <si>
    <t>Total</t>
  </si>
  <si>
    <t>X</t>
  </si>
  <si>
    <t>Y</t>
  </si>
  <si>
    <t>SAWW</t>
  </si>
  <si>
    <t>Comp rate</t>
  </si>
  <si>
    <t>Min benefit</t>
  </si>
  <si>
    <t>Max benefit</t>
  </si>
  <si>
    <t>Currrent</t>
  </si>
  <si>
    <t>Proposed</t>
  </si>
  <si>
    <t>NA</t>
  </si>
  <si>
    <t>Current benefit</t>
  </si>
  <si>
    <t>min benefits ratio to SAWW</t>
  </si>
  <si>
    <t>Current - calcs</t>
  </si>
  <si>
    <t>max benefits ratio to SAWW</t>
  </si>
  <si>
    <t>Proposed - calcs</t>
  </si>
  <si>
    <t>=0.45/0.60</t>
  </si>
  <si>
    <t>=0.9/0.6</t>
  </si>
  <si>
    <t>-&gt; 0.45*1200=</t>
  </si>
  <si>
    <t>-&gt; 0.90*1200=</t>
  </si>
  <si>
    <t>0.6Y &lt; or using min / max benefit * X &gt;</t>
  </si>
  <si>
    <t>0.75Y &lt; or using min benefit * X &gt;</t>
  </si>
  <si>
    <t>Proposed benefit</t>
  </si>
  <si>
    <t>direct effect</t>
  </si>
  <si>
    <t>= proposed benefit / current benefit</t>
  </si>
  <si>
    <t>Effective Date</t>
  </si>
  <si>
    <t>Policy Fee</t>
  </si>
  <si>
    <t>Class Factor</t>
  </si>
  <si>
    <t>Territory Factor</t>
  </si>
  <si>
    <t>A</t>
  </si>
  <si>
    <t>B</t>
  </si>
  <si>
    <t>Lookups</t>
  </si>
  <si>
    <t>Base rate</t>
  </si>
  <si>
    <t>Policy</t>
  </si>
  <si>
    <t># of Written Exposures</t>
  </si>
  <si>
    <t>key1</t>
  </si>
  <si>
    <t>key2</t>
  </si>
  <si>
    <t>data</t>
  </si>
  <si>
    <t>Premium per exposure</t>
  </si>
  <si>
    <t>% EE</t>
  </si>
  <si>
    <t>EP</t>
  </si>
  <si>
    <t>Group</t>
  </si>
  <si>
    <t>Cumulative Rate Level Index</t>
  </si>
  <si>
    <t>Initial</t>
  </si>
  <si>
    <t>--</t>
  </si>
  <si>
    <t>Index</t>
  </si>
  <si>
    <t>2016 Q1</t>
  </si>
  <si>
    <t>2016 Q2</t>
  </si>
  <si>
    <t>2016 Q3</t>
  </si>
  <si>
    <t>2016 Q4</t>
  </si>
  <si>
    <t>Overall Rate Change %</t>
  </si>
  <si>
    <t>Portions</t>
  </si>
  <si>
    <t>On-Level Factor</t>
  </si>
  <si>
    <t>Average Cumlative Rate Level Index</t>
  </si>
  <si>
    <t>constants (given / manully figure out)</t>
  </si>
  <si>
    <t>SUMPRODUCT(O25:O27,$N$25:$N$27)</t>
  </si>
  <si>
    <t>$N$27/S25</t>
  </si>
  <si>
    <t>PRODUCT(O19:O21)</t>
  </si>
  <si>
    <t>N21+1</t>
  </si>
  <si>
    <r>
      <t xml:space="preserve">formulas </t>
    </r>
    <r>
      <rPr>
        <sz val="12"/>
        <color theme="5"/>
        <rFont val="Aptos Narrow (Body)"/>
      </rPr>
      <t>(actual formula)</t>
    </r>
  </si>
  <si>
    <t>di</t>
  </si>
  <si>
    <t>7/1/2003 - by law</t>
  </si>
  <si>
    <t>Cumulative rate level index</t>
  </si>
  <si>
    <t>Portion</t>
  </si>
  <si>
    <t>CY 2001</t>
  </si>
  <si>
    <t>CY 2002</t>
  </si>
  <si>
    <t>CY 2003</t>
  </si>
  <si>
    <t>Weighted average rate level index</t>
  </si>
  <si>
    <t>On-level factor</t>
  </si>
  <si>
    <t>CY 2007</t>
  </si>
  <si>
    <t>CY 2008</t>
  </si>
  <si>
    <t>PY 2001</t>
  </si>
  <si>
    <t>PY 2002</t>
  </si>
  <si>
    <t>PY 2003</t>
  </si>
  <si>
    <t>7/1/2008 - by law</t>
  </si>
  <si>
    <t>Cumulative Paid Claims ($000) as of (months)</t>
  </si>
  <si>
    <t>Cumulative Reported Claims ($000) as of (months)</t>
  </si>
  <si>
    <t>Cumulative Reported Claim Counts as of (months)</t>
  </si>
  <si>
    <t>Open Claim Counts as of (months)</t>
  </si>
  <si>
    <t>AY</t>
  </si>
  <si>
    <t>Paid to Reported Claims Ratio as of (months)</t>
  </si>
  <si>
    <t>Closed to Reported Claim Count Ratio as of (months)</t>
  </si>
  <si>
    <t>Average Case Outstanding as of (months)</t>
  </si>
  <si>
    <t>= (Reported Losses - Paid Losses) / Open Claim Count</t>
  </si>
  <si>
    <t>(for claim counts): = (Reported - Open) / Reported</t>
  </si>
  <si>
    <t>(for losses): = Paid / Reported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</si>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</sst>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70" formatCode="#,##0.000"/>
  </numFmts>
  <fonts count="1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293243"/>
      <name val="Arial"/>
      <family val="2"/>
    </font>
    <font>
      <sz val="12"/>
      <color rgb="FF293243"/>
      <name val="Arial"/>
      <family val="2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5"/>
      <name val="Aptos Narrow (Body)"/>
    </font>
    <font>
      <sz val="12"/>
      <color rgb="FF0070C0"/>
      <name val="Arial"/>
      <family val="2"/>
    </font>
    <font>
      <sz val="12"/>
      <color rgb="FFFFC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0" fillId="0" borderId="1" xfId="0" applyBorder="1"/>
    <xf numFmtId="3" fontId="0" fillId="0" borderId="2" xfId="0" applyNumberFormat="1" applyBorder="1"/>
    <xf numFmtId="0" fontId="0" fillId="0" borderId="0" xfId="0" quotePrefix="1"/>
    <xf numFmtId="0" fontId="2" fillId="0" borderId="1" xfId="0" applyFont="1" applyBorder="1"/>
    <xf numFmtId="0" fontId="2" fillId="0" borderId="3" xfId="0" applyFont="1" applyBorder="1"/>
    <xf numFmtId="3" fontId="0" fillId="0" borderId="3" xfId="0" applyNumberFormat="1" applyBorder="1"/>
    <xf numFmtId="164" fontId="0" fillId="0" borderId="0" xfId="1" applyNumberFormat="1" applyFont="1"/>
    <xf numFmtId="164" fontId="0" fillId="0" borderId="1" xfId="1" applyNumberFormat="1" applyFont="1" applyBorder="1"/>
    <xf numFmtId="164" fontId="0" fillId="0" borderId="0" xfId="0" applyNumberFormat="1"/>
    <xf numFmtId="10" fontId="0" fillId="0" borderId="0" xfId="2" applyNumberFormat="1" applyFont="1"/>
    <xf numFmtId="0" fontId="3" fillId="0" borderId="0" xfId="0" applyFont="1"/>
    <xf numFmtId="0" fontId="4" fillId="0" borderId="0" xfId="0" applyFont="1"/>
    <xf numFmtId="14" fontId="4" fillId="0" borderId="0" xfId="0" applyNumberFormat="1" applyFont="1"/>
    <xf numFmtId="0" fontId="3" fillId="0" borderId="0" xfId="0" applyFont="1" applyAlignment="1">
      <alignment wrapText="1"/>
    </xf>
    <xf numFmtId="0" fontId="2" fillId="0" borderId="0" xfId="0" applyFont="1"/>
    <xf numFmtId="0" fontId="5" fillId="0" borderId="0" xfId="0" applyFont="1"/>
    <xf numFmtId="2" fontId="0" fillId="0" borderId="0" xfId="0" applyNumberFormat="1"/>
    <xf numFmtId="14" fontId="0" fillId="0" borderId="0" xfId="0" applyNumberFormat="1"/>
    <xf numFmtId="9" fontId="0" fillId="0" borderId="0" xfId="2" applyFont="1"/>
    <xf numFmtId="9" fontId="0" fillId="0" borderId="0" xfId="2" quotePrefix="1" applyFont="1"/>
    <xf numFmtId="2" fontId="7" fillId="0" borderId="0" xfId="0" applyNumberFormat="1" applyFont="1"/>
    <xf numFmtId="0" fontId="7" fillId="0" borderId="0" xfId="0" applyFont="1"/>
    <xf numFmtId="0" fontId="0" fillId="0" borderId="0" xfId="0" applyAlignment="1">
      <alignment vertical="center"/>
    </xf>
    <xf numFmtId="0" fontId="2" fillId="0" borderId="4" xfId="0" applyFont="1" applyBorder="1"/>
    <xf numFmtId="0" fontId="2" fillId="0" borderId="2" xfId="0" applyFont="1" applyBorder="1"/>
    <xf numFmtId="0" fontId="0" fillId="0" borderId="4" xfId="0" applyBorder="1"/>
    <xf numFmtId="0" fontId="7" fillId="0" borderId="2" xfId="0" applyFont="1" applyBorder="1"/>
    <xf numFmtId="0" fontId="0" fillId="0" borderId="5" xfId="0" applyBorder="1"/>
    <xf numFmtId="0" fontId="7" fillId="0" borderId="3" xfId="0" applyFont="1" applyBorder="1"/>
    <xf numFmtId="0" fontId="0" fillId="0" borderId="2" xfId="0" applyBorder="1"/>
    <xf numFmtId="0" fontId="0" fillId="0" borderId="3" xfId="0" applyBorder="1"/>
    <xf numFmtId="0" fontId="8" fillId="0" borderId="0" xfId="0" quotePrefix="1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3" fontId="4" fillId="0" borderId="0" xfId="0" applyNumberFormat="1" applyFont="1"/>
    <xf numFmtId="170" fontId="10" fillId="0" borderId="0" xfId="0" applyNumberFormat="1" applyFont="1"/>
    <xf numFmtId="0" fontId="10" fillId="0" borderId="0" xfId="0" applyFont="1"/>
    <xf numFmtId="0" fontId="11" fillId="0" borderId="0" xfId="0" quotePrefix="1" applyFont="1"/>
    <xf numFmtId="4" fontId="10" fillId="0" borderId="0" xfId="0" applyNumberFormat="1" applyFont="1"/>
    <xf numFmtId="4" fontId="7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89D1-CA2B-AF4C-9440-38794FB6AFB7}">
  <dimension ref="D6:K35"/>
  <sheetViews>
    <sheetView workbookViewId="0">
      <selection activeCell="L27" sqref="L27"/>
    </sheetView>
  </sheetViews>
  <sheetFormatPr baseColWidth="10" defaultRowHeight="16" x14ac:dyDescent="0.2"/>
  <cols>
    <col min="4" max="4" width="23.1640625" bestFit="1" customWidth="1"/>
    <col min="7" max="7" width="13.1640625" bestFit="1" customWidth="1"/>
    <col min="8" max="8" width="11" bestFit="1" customWidth="1"/>
    <col min="9" max="9" width="17.1640625" bestFit="1" customWidth="1"/>
    <col min="10" max="10" width="31" bestFit="1" customWidth="1"/>
    <col min="11" max="11" width="27.33203125" bestFit="1" customWidth="1"/>
    <col min="13" max="13" width="9.83203125" customWidth="1"/>
    <col min="14" max="14" width="12" customWidth="1"/>
    <col min="15" max="15" width="9.33203125" customWidth="1"/>
    <col min="16" max="16" width="12.33203125" customWidth="1"/>
    <col min="17" max="17" width="15.33203125" customWidth="1"/>
  </cols>
  <sheetData>
    <row r="6" spans="4:11" x14ac:dyDescent="0.2">
      <c r="H6" t="s">
        <v>11</v>
      </c>
      <c r="I6" t="s">
        <v>12</v>
      </c>
      <c r="J6" t="s">
        <v>29</v>
      </c>
      <c r="K6" t="s">
        <v>30</v>
      </c>
    </row>
    <row r="7" spans="4:11" x14ac:dyDescent="0.2">
      <c r="D7" s="1" t="s">
        <v>17</v>
      </c>
      <c r="E7" s="1"/>
      <c r="G7" s="4" t="s">
        <v>0</v>
      </c>
      <c r="H7" s="4" t="s">
        <v>1</v>
      </c>
      <c r="I7" s="5" t="s">
        <v>2</v>
      </c>
      <c r="J7" s="4" t="s">
        <v>20</v>
      </c>
      <c r="K7" s="4" t="s">
        <v>31</v>
      </c>
    </row>
    <row r="8" spans="4:11" x14ac:dyDescent="0.2">
      <c r="D8" t="s">
        <v>14</v>
      </c>
      <c r="E8">
        <v>0.6</v>
      </c>
      <c r="G8" t="s">
        <v>3</v>
      </c>
      <c r="H8">
        <v>24</v>
      </c>
      <c r="I8" s="2">
        <v>12432</v>
      </c>
      <c r="J8" s="7">
        <f>$H$18*H8</f>
        <v>12960</v>
      </c>
      <c r="K8" s="7">
        <f>$H$18*H8</f>
        <v>12960</v>
      </c>
    </row>
    <row r="9" spans="4:11" x14ac:dyDescent="0.2">
      <c r="D9" t="s">
        <v>13</v>
      </c>
      <c r="E9">
        <v>1200</v>
      </c>
      <c r="G9" t="s">
        <v>4</v>
      </c>
      <c r="H9">
        <v>19</v>
      </c>
      <c r="I9" s="2">
        <v>12426</v>
      </c>
      <c r="J9" s="7">
        <f>$H$18*H9</f>
        <v>10260</v>
      </c>
      <c r="K9" s="7">
        <f>$H$18*H9</f>
        <v>10260</v>
      </c>
    </row>
    <row r="10" spans="4:11" x14ac:dyDescent="0.2">
      <c r="D10" t="s">
        <v>15</v>
      </c>
      <c r="E10">
        <v>0.45</v>
      </c>
      <c r="G10" t="s">
        <v>5</v>
      </c>
      <c r="H10">
        <v>33</v>
      </c>
      <c r="I10" s="2">
        <v>26664</v>
      </c>
      <c r="J10" s="7">
        <f>$H$18*H10</f>
        <v>17820</v>
      </c>
      <c r="K10" s="7">
        <f>$E$14*I10</f>
        <v>19998</v>
      </c>
    </row>
    <row r="11" spans="4:11" x14ac:dyDescent="0.2">
      <c r="D11" t="s">
        <v>16</v>
      </c>
      <c r="E11">
        <v>0.9</v>
      </c>
      <c r="G11" t="s">
        <v>6</v>
      </c>
      <c r="H11">
        <v>81</v>
      </c>
      <c r="I11" s="2">
        <v>88840</v>
      </c>
      <c r="J11" s="7">
        <f>$E$8*I11</f>
        <v>53304</v>
      </c>
      <c r="K11" s="7">
        <f t="shared" ref="K11:K13" si="0">$E$14*I11</f>
        <v>66630</v>
      </c>
    </row>
    <row r="12" spans="4:11" x14ac:dyDescent="0.2">
      <c r="G12" t="s">
        <v>7</v>
      </c>
      <c r="H12">
        <v>68</v>
      </c>
      <c r="I12" s="2">
        <v>88060</v>
      </c>
      <c r="J12" s="7">
        <f t="shared" ref="J12" si="1">$E$8*I12</f>
        <v>52836</v>
      </c>
      <c r="K12" s="7">
        <f t="shared" si="0"/>
        <v>66045</v>
      </c>
    </row>
    <row r="13" spans="4:11" x14ac:dyDescent="0.2">
      <c r="D13" s="1" t="s">
        <v>18</v>
      </c>
      <c r="E13" s="1"/>
      <c r="G13" t="s">
        <v>8</v>
      </c>
      <c r="H13">
        <v>49</v>
      </c>
      <c r="I13" s="2">
        <v>81242</v>
      </c>
      <c r="J13" s="7">
        <f>$E$8*I13</f>
        <v>48745.2</v>
      </c>
      <c r="K13" s="7">
        <f t="shared" si="0"/>
        <v>60931.5</v>
      </c>
    </row>
    <row r="14" spans="4:11" x14ac:dyDescent="0.2">
      <c r="D14" t="s">
        <v>14</v>
      </c>
      <c r="E14">
        <v>0.75</v>
      </c>
      <c r="G14" s="1" t="s">
        <v>9</v>
      </c>
      <c r="H14" s="1">
        <v>26</v>
      </c>
      <c r="I14" s="6">
        <v>50336</v>
      </c>
      <c r="J14" s="8">
        <f>H19*H14</f>
        <v>28080</v>
      </c>
      <c r="K14" s="8">
        <f>$E$14*I14</f>
        <v>37752</v>
      </c>
    </row>
    <row r="15" spans="4:11" x14ac:dyDescent="0.2">
      <c r="D15" t="s">
        <v>16</v>
      </c>
      <c r="E15" t="s">
        <v>19</v>
      </c>
      <c r="G15" t="s">
        <v>10</v>
      </c>
      <c r="H15">
        <v>300</v>
      </c>
      <c r="I15" s="2">
        <v>360000</v>
      </c>
      <c r="J15" s="9">
        <f>SUM(J8:J14)</f>
        <v>224005.2</v>
      </c>
      <c r="K15" s="9">
        <f>SUM(K8:K14)</f>
        <v>274576.5</v>
      </c>
    </row>
    <row r="17" spans="4:11" x14ac:dyDescent="0.2">
      <c r="D17" s="1" t="s">
        <v>22</v>
      </c>
      <c r="E17" s="1"/>
    </row>
    <row r="18" spans="4:11" x14ac:dyDescent="0.2">
      <c r="D18" t="s">
        <v>21</v>
      </c>
      <c r="E18">
        <f>0.45/0.6</f>
        <v>0.75</v>
      </c>
      <c r="F18" s="3" t="s">
        <v>25</v>
      </c>
      <c r="G18" s="3" t="s">
        <v>27</v>
      </c>
      <c r="H18">
        <f>0.45*1200</f>
        <v>540</v>
      </c>
      <c r="J18" t="s">
        <v>32</v>
      </c>
      <c r="K18" s="10">
        <f>K15/J15-1</f>
        <v>0.22575949129752337</v>
      </c>
    </row>
    <row r="19" spans="4:11" x14ac:dyDescent="0.2">
      <c r="D19" t="s">
        <v>23</v>
      </c>
      <c r="E19">
        <f>0.9/0.6</f>
        <v>1.5</v>
      </c>
      <c r="F19" s="3" t="s">
        <v>26</v>
      </c>
      <c r="G19" s="3" t="s">
        <v>28</v>
      </c>
      <c r="H19">
        <f>0.9*1200</f>
        <v>1080</v>
      </c>
      <c r="J19" s="3" t="s">
        <v>33</v>
      </c>
    </row>
    <row r="21" spans="4:11" x14ac:dyDescent="0.2">
      <c r="D21" s="1" t="s">
        <v>24</v>
      </c>
      <c r="E21" s="1"/>
    </row>
    <row r="22" spans="4:11" x14ac:dyDescent="0.2">
      <c r="D22" t="s">
        <v>23</v>
      </c>
      <c r="E22" t="s">
        <v>19</v>
      </c>
      <c r="F22" s="3"/>
      <c r="G22" s="3"/>
    </row>
    <row r="28" spans="4:11" x14ac:dyDescent="0.2">
      <c r="D28" s="12"/>
      <c r="E28" s="12"/>
      <c r="F28" s="12"/>
      <c r="G28" s="12"/>
      <c r="H28" s="12"/>
      <c r="I28" s="12"/>
      <c r="J28" s="12"/>
    </row>
    <row r="29" spans="4:11" x14ac:dyDescent="0.2">
      <c r="D29" s="13"/>
      <c r="E29" s="12"/>
      <c r="F29" s="12"/>
      <c r="G29" s="12"/>
      <c r="H29" s="12"/>
      <c r="I29" s="12"/>
      <c r="J29" s="12"/>
    </row>
    <row r="30" spans="4:11" x14ac:dyDescent="0.2">
      <c r="D30" s="13"/>
      <c r="E30" s="12"/>
      <c r="F30" s="12"/>
      <c r="G30" s="12"/>
      <c r="H30" s="12"/>
      <c r="I30" s="12"/>
      <c r="J30" s="12"/>
    </row>
    <row r="31" spans="4:11" x14ac:dyDescent="0.2">
      <c r="D31" s="13"/>
      <c r="E31" s="12"/>
      <c r="F31" s="12"/>
      <c r="G31" s="12"/>
      <c r="H31" s="12"/>
      <c r="I31" s="12"/>
      <c r="J31" s="12"/>
    </row>
    <row r="32" spans="4:11" x14ac:dyDescent="0.2">
      <c r="D32" s="12"/>
      <c r="E32" s="12"/>
      <c r="F32" s="12"/>
      <c r="G32" s="12"/>
      <c r="H32" s="12"/>
      <c r="I32" s="12"/>
      <c r="J32" s="12"/>
    </row>
    <row r="33" spans="4:10" x14ac:dyDescent="0.2">
      <c r="D33" s="13"/>
      <c r="E33" s="12"/>
      <c r="F33" s="12"/>
      <c r="G33" s="12"/>
      <c r="H33" s="12"/>
      <c r="I33" s="12"/>
      <c r="J33" s="12"/>
    </row>
    <row r="34" spans="4:10" ht="16" customHeight="1" x14ac:dyDescent="0.2">
      <c r="D34" s="13"/>
      <c r="E34" s="12"/>
      <c r="F34" s="12"/>
      <c r="G34" s="12"/>
      <c r="H34" s="12"/>
      <c r="I34" s="12"/>
      <c r="J34" s="12"/>
    </row>
    <row r="35" spans="4:10" x14ac:dyDescent="0.2">
      <c r="D35" s="13"/>
      <c r="E35" s="12"/>
      <c r="F35" s="12"/>
      <c r="G35" s="12"/>
      <c r="H35" s="12"/>
      <c r="I35" s="12"/>
      <c r="J35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6021E-A4E6-FC4B-9E7D-448791DEE1BE}">
  <dimension ref="B2:AZ63"/>
  <sheetViews>
    <sheetView topLeftCell="AF33" workbookViewId="0">
      <selection activeCell="AQ41" sqref="AQ41"/>
    </sheetView>
  </sheetViews>
  <sheetFormatPr baseColWidth="10" defaultRowHeight="16" x14ac:dyDescent="0.2"/>
  <cols>
    <col min="13" max="13" width="12.33203125" bestFit="1" customWidth="1"/>
    <col min="14" max="14" width="24.1640625" bestFit="1" customWidth="1"/>
    <col min="15" max="18" width="14" bestFit="1" customWidth="1"/>
    <col min="31" max="31" width="14.83203125" bestFit="1" customWidth="1"/>
    <col min="32" max="32" width="23.33203125" bestFit="1" customWidth="1"/>
    <col min="45" max="45" width="13.83203125" bestFit="1" customWidth="1"/>
    <col min="46" max="46" width="23.5" bestFit="1" customWidth="1"/>
  </cols>
  <sheetData>
    <row r="2" spans="2:9" x14ac:dyDescent="0.2">
      <c r="B2" t="s">
        <v>40</v>
      </c>
    </row>
    <row r="3" spans="2:9" x14ac:dyDescent="0.2">
      <c r="B3" s="16" t="s">
        <v>44</v>
      </c>
      <c r="C3" s="16" t="s">
        <v>45</v>
      </c>
      <c r="D3" t="s">
        <v>46</v>
      </c>
    </row>
    <row r="4" spans="2:9" x14ac:dyDescent="0.2">
      <c r="B4" t="s">
        <v>41</v>
      </c>
      <c r="D4">
        <v>540</v>
      </c>
    </row>
    <row r="5" spans="2:9" x14ac:dyDescent="0.2">
      <c r="B5" t="s">
        <v>36</v>
      </c>
      <c r="C5" t="s">
        <v>11</v>
      </c>
      <c r="D5">
        <v>1</v>
      </c>
    </row>
    <row r="6" spans="2:9" x14ac:dyDescent="0.2">
      <c r="B6" t="s">
        <v>36</v>
      </c>
      <c r="C6" t="s">
        <v>12</v>
      </c>
      <c r="D6">
        <v>1.3</v>
      </c>
    </row>
    <row r="7" spans="2:9" x14ac:dyDescent="0.2">
      <c r="B7" t="s">
        <v>37</v>
      </c>
      <c r="C7" t="s">
        <v>38</v>
      </c>
      <c r="D7">
        <v>1</v>
      </c>
    </row>
    <row r="8" spans="2:9" x14ac:dyDescent="0.2">
      <c r="B8" t="s">
        <v>37</v>
      </c>
      <c r="C8" t="s">
        <v>39</v>
      </c>
      <c r="D8">
        <v>0.9</v>
      </c>
    </row>
    <row r="9" spans="2:9" x14ac:dyDescent="0.2">
      <c r="B9" t="s">
        <v>35</v>
      </c>
      <c r="D9">
        <v>35</v>
      </c>
    </row>
    <row r="11" spans="2:9" x14ac:dyDescent="0.2">
      <c r="F11" s="11"/>
    </row>
    <row r="12" spans="2:9" ht="68" x14ac:dyDescent="0.2">
      <c r="B12" s="14" t="s">
        <v>42</v>
      </c>
      <c r="C12" s="14" t="s">
        <v>34</v>
      </c>
      <c r="D12" s="14" t="s">
        <v>36</v>
      </c>
      <c r="E12" s="14" t="s">
        <v>37</v>
      </c>
      <c r="F12" s="14" t="s">
        <v>43</v>
      </c>
      <c r="G12" s="14" t="s">
        <v>47</v>
      </c>
      <c r="H12" s="14" t="s">
        <v>48</v>
      </c>
      <c r="I12" s="14" t="s">
        <v>49</v>
      </c>
    </row>
    <row r="13" spans="2:9" x14ac:dyDescent="0.2">
      <c r="B13" s="12">
        <v>1</v>
      </c>
      <c r="C13" s="13">
        <v>44593</v>
      </c>
      <c r="D13" s="12" t="s">
        <v>11</v>
      </c>
      <c r="E13" s="12" t="s">
        <v>38</v>
      </c>
      <c r="F13" s="12">
        <v>1</v>
      </c>
      <c r="G13">
        <f t="shared" ref="G13:G18" si="0">SUMIFS($D$4:$D$9,$B$4:$B$9,"Base rate",$C$4:$C$9,"")*SUMIFS($D$4:$D$9,$B$4:$B$9,"Class factor",$C$4:$C$9,D13)*SUMIFS($D$4:$D$9,$B$4:$B$9,"Territory factor",$C$4:$C$9,E13)+SUMIFS($D$4:$D$9,$B$4:$B$9,"Policy fee",$C$4:$C$9,"")</f>
        <v>575</v>
      </c>
      <c r="H13" s="17">
        <f>1/12</f>
        <v>8.3333333333333329E-2</v>
      </c>
      <c r="I13" s="17">
        <f t="shared" ref="I13:I18" si="1">F13*G13*H13</f>
        <v>47.916666666666664</v>
      </c>
    </row>
    <row r="14" spans="2:9" x14ac:dyDescent="0.2">
      <c r="B14" s="12">
        <v>2</v>
      </c>
      <c r="C14" s="13">
        <v>44666</v>
      </c>
      <c r="D14" s="12" t="s">
        <v>11</v>
      </c>
      <c r="E14" s="12" t="s">
        <v>39</v>
      </c>
      <c r="F14" s="12">
        <v>2</v>
      </c>
      <c r="G14">
        <f t="shared" si="0"/>
        <v>521</v>
      </c>
      <c r="H14" s="17">
        <f>7/24</f>
        <v>0.29166666666666669</v>
      </c>
      <c r="I14" s="17">
        <f t="shared" si="1"/>
        <v>303.91666666666669</v>
      </c>
    </row>
    <row r="15" spans="2:9" x14ac:dyDescent="0.2">
      <c r="B15" s="12">
        <v>3</v>
      </c>
      <c r="C15" s="13">
        <v>44805</v>
      </c>
      <c r="D15" s="12" t="s">
        <v>12</v>
      </c>
      <c r="E15" s="12" t="s">
        <v>38</v>
      </c>
      <c r="F15" s="12">
        <v>1</v>
      </c>
      <c r="G15">
        <f t="shared" si="0"/>
        <v>737</v>
      </c>
      <c r="H15" s="17">
        <f>8/12</f>
        <v>0.66666666666666663</v>
      </c>
      <c r="I15" s="17">
        <f t="shared" si="1"/>
        <v>491.33333333333331</v>
      </c>
    </row>
    <row r="16" spans="2:9" x14ac:dyDescent="0.2">
      <c r="B16" s="12">
        <v>4</v>
      </c>
      <c r="C16" s="13">
        <v>44927</v>
      </c>
      <c r="D16" s="12" t="s">
        <v>12</v>
      </c>
      <c r="E16" s="12" t="s">
        <v>39</v>
      </c>
      <c r="F16" s="12">
        <v>2</v>
      </c>
      <c r="G16">
        <f t="shared" si="0"/>
        <v>666.80000000000007</v>
      </c>
      <c r="H16" s="17">
        <f>12/12</f>
        <v>1</v>
      </c>
      <c r="I16" s="17">
        <f t="shared" si="1"/>
        <v>1333.6000000000001</v>
      </c>
    </row>
    <row r="17" spans="2:33" x14ac:dyDescent="0.2">
      <c r="B17" s="12">
        <v>5</v>
      </c>
      <c r="C17" s="13">
        <v>45078</v>
      </c>
      <c r="D17" s="12" t="s">
        <v>11</v>
      </c>
      <c r="E17" s="12" t="s">
        <v>38</v>
      </c>
      <c r="F17" s="12">
        <v>3</v>
      </c>
      <c r="G17">
        <f t="shared" si="0"/>
        <v>575</v>
      </c>
      <c r="H17" s="17">
        <f>7/12</f>
        <v>0.58333333333333337</v>
      </c>
      <c r="I17" s="17">
        <f t="shared" si="1"/>
        <v>1006.2500000000001</v>
      </c>
    </row>
    <row r="18" spans="2:33" x14ac:dyDescent="0.2">
      <c r="B18" s="12">
        <v>6</v>
      </c>
      <c r="C18" s="13">
        <v>45214</v>
      </c>
      <c r="D18" s="12" t="s">
        <v>12</v>
      </c>
      <c r="E18" s="12" t="s">
        <v>39</v>
      </c>
      <c r="F18" s="12">
        <v>2</v>
      </c>
      <c r="G18">
        <f t="shared" si="0"/>
        <v>666.80000000000007</v>
      </c>
      <c r="H18" s="17">
        <f>5/24</f>
        <v>0.20833333333333334</v>
      </c>
      <c r="I18" s="17">
        <f t="shared" si="1"/>
        <v>277.83333333333337</v>
      </c>
      <c r="M18" s="15" t="s">
        <v>34</v>
      </c>
      <c r="N18" s="15" t="s">
        <v>59</v>
      </c>
      <c r="O18" s="15" t="s">
        <v>54</v>
      </c>
    </row>
    <row r="19" spans="2:33" x14ac:dyDescent="0.2">
      <c r="H19" s="15" t="s">
        <v>10</v>
      </c>
      <c r="I19" s="17">
        <f>SUM(I13:I18)</f>
        <v>3460.8500000000004</v>
      </c>
      <c r="M19" t="s">
        <v>52</v>
      </c>
      <c r="N19" s="20" t="s">
        <v>53</v>
      </c>
      <c r="O19">
        <v>1</v>
      </c>
    </row>
    <row r="20" spans="2:33" x14ac:dyDescent="0.2">
      <c r="M20" s="18">
        <v>42095</v>
      </c>
      <c r="N20" s="19">
        <v>0.05</v>
      </c>
      <c r="O20" s="21">
        <f>N20+1</f>
        <v>1.05</v>
      </c>
    </row>
    <row r="21" spans="2:33" x14ac:dyDescent="0.2">
      <c r="M21" s="18">
        <v>42370</v>
      </c>
      <c r="N21" s="19">
        <v>0.1</v>
      </c>
      <c r="O21" s="21">
        <f>N21+1</f>
        <v>1.1000000000000001</v>
      </c>
      <c r="P21" s="32" t="s">
        <v>67</v>
      </c>
    </row>
    <row r="23" spans="2:33" x14ac:dyDescent="0.2">
      <c r="M23" s="40"/>
      <c r="N23" s="41"/>
      <c r="O23" s="37" t="s">
        <v>60</v>
      </c>
      <c r="P23" s="38"/>
      <c r="Q23" s="38"/>
      <c r="R23" s="39"/>
      <c r="S23" s="37" t="s">
        <v>62</v>
      </c>
      <c r="T23" s="38"/>
      <c r="U23" s="38"/>
      <c r="V23" s="39"/>
      <c r="W23" s="37" t="s">
        <v>61</v>
      </c>
      <c r="X23" s="38"/>
      <c r="Y23" s="38"/>
      <c r="Z23" s="39"/>
    </row>
    <row r="24" spans="2:33" x14ac:dyDescent="0.2">
      <c r="M24" s="24" t="s">
        <v>50</v>
      </c>
      <c r="N24" s="25" t="s">
        <v>51</v>
      </c>
      <c r="O24" s="24" t="s">
        <v>55</v>
      </c>
      <c r="P24" s="15" t="s">
        <v>56</v>
      </c>
      <c r="Q24" s="15" t="s">
        <v>57</v>
      </c>
      <c r="R24" s="25" t="s">
        <v>58</v>
      </c>
      <c r="S24" s="24" t="s">
        <v>55</v>
      </c>
      <c r="T24" s="15" t="s">
        <v>56</v>
      </c>
      <c r="U24" s="15" t="s">
        <v>57</v>
      </c>
      <c r="V24" s="25" t="s">
        <v>58</v>
      </c>
      <c r="W24" s="24" t="s">
        <v>55</v>
      </c>
      <c r="X24" s="15" t="s">
        <v>56</v>
      </c>
      <c r="Y24" s="15" t="s">
        <v>57</v>
      </c>
      <c r="Z24" s="25" t="s">
        <v>58</v>
      </c>
    </row>
    <row r="25" spans="2:33" x14ac:dyDescent="0.2">
      <c r="M25" s="26">
        <v>1</v>
      </c>
      <c r="N25" s="27">
        <f>PRODUCT(O19)</f>
        <v>1</v>
      </c>
      <c r="O25" s="26">
        <v>0.125</v>
      </c>
      <c r="P25">
        <v>0</v>
      </c>
      <c r="Q25">
        <v>0</v>
      </c>
      <c r="R25" s="30">
        <v>0</v>
      </c>
      <c r="S25" s="46">
        <f>SUMPRODUCT(O25:O27,$N$25:$N$27)</f>
        <v>1.0568750000000002</v>
      </c>
      <c r="T25" s="44">
        <f t="shared" ref="T25:V25" si="2">SUMPRODUCT(P25:P27,$N$25:$N$27)</f>
        <v>1.089375</v>
      </c>
      <c r="U25" s="44">
        <f t="shared" si="2"/>
        <v>1.1156250000000001</v>
      </c>
      <c r="V25" s="42">
        <f t="shared" si="2"/>
        <v>1.1418750000000002</v>
      </c>
      <c r="W25" s="46">
        <f>$N$27/S25</f>
        <v>1.0928444707273803</v>
      </c>
      <c r="X25" s="44">
        <f t="shared" ref="X25:Z25" si="3">$N$27/T25</f>
        <v>1.060240963855422</v>
      </c>
      <c r="Y25" s="44">
        <f t="shared" si="3"/>
        <v>1.0352941176470589</v>
      </c>
      <c r="Z25" s="42">
        <f t="shared" si="3"/>
        <v>1.0114942528735633</v>
      </c>
    </row>
    <row r="26" spans="2:33" x14ac:dyDescent="0.2">
      <c r="M26" s="26">
        <v>2</v>
      </c>
      <c r="N26" s="27">
        <f>PRODUCT(O19:O20)</f>
        <v>1.05</v>
      </c>
      <c r="O26" s="26">
        <v>0.75</v>
      </c>
      <c r="P26">
        <v>0.625</v>
      </c>
      <c r="Q26">
        <v>0.375</v>
      </c>
      <c r="R26" s="30">
        <v>0.125</v>
      </c>
      <c r="S26" s="46"/>
      <c r="T26" s="44"/>
      <c r="U26" s="44"/>
      <c r="V26" s="42"/>
      <c r="W26" s="46"/>
      <c r="X26" s="44"/>
      <c r="Y26" s="44"/>
      <c r="Z26" s="42"/>
    </row>
    <row r="27" spans="2:33" x14ac:dyDescent="0.2">
      <c r="M27" s="28">
        <v>3</v>
      </c>
      <c r="N27" s="29">
        <f>PRODUCT(O19:O21)</f>
        <v>1.1550000000000002</v>
      </c>
      <c r="O27" s="28">
        <v>0.125</v>
      </c>
      <c r="P27" s="1">
        <v>0.375</v>
      </c>
      <c r="Q27" s="1">
        <v>0.625</v>
      </c>
      <c r="R27" s="31">
        <v>0.875</v>
      </c>
      <c r="S27" s="47"/>
      <c r="T27" s="45"/>
      <c r="U27" s="45"/>
      <c r="V27" s="43"/>
      <c r="W27" s="47"/>
      <c r="X27" s="45"/>
      <c r="Y27" s="45"/>
      <c r="Z27" s="43"/>
    </row>
    <row r="28" spans="2:33" x14ac:dyDescent="0.2">
      <c r="N28" s="32" t="s">
        <v>66</v>
      </c>
      <c r="S28" s="32" t="s">
        <v>64</v>
      </c>
      <c r="W28" s="32" t="s">
        <v>65</v>
      </c>
    </row>
    <row r="30" spans="2:33" x14ac:dyDescent="0.2">
      <c r="M30" t="s">
        <v>63</v>
      </c>
    </row>
    <row r="31" spans="2:33" x14ac:dyDescent="0.2">
      <c r="M31" s="22" t="s">
        <v>68</v>
      </c>
      <c r="AE31" s="15" t="s">
        <v>34</v>
      </c>
      <c r="AF31" s="15" t="s">
        <v>59</v>
      </c>
      <c r="AG31" s="15" t="s">
        <v>54</v>
      </c>
    </row>
    <row r="32" spans="2:33" x14ac:dyDescent="0.2">
      <c r="AE32" t="s">
        <v>52</v>
      </c>
      <c r="AF32" s="20" t="s">
        <v>53</v>
      </c>
      <c r="AG32">
        <v>1</v>
      </c>
    </row>
    <row r="33" spans="15:41" x14ac:dyDescent="0.2">
      <c r="AE33" s="18">
        <v>37165</v>
      </c>
      <c r="AF33" s="19">
        <v>7.0000000000000007E-2</v>
      </c>
      <c r="AG33" s="21">
        <f>AF33+1</f>
        <v>1.07</v>
      </c>
    </row>
    <row r="34" spans="15:41" x14ac:dyDescent="0.2">
      <c r="AE34" s="18">
        <v>37438</v>
      </c>
      <c r="AF34" s="19">
        <v>0.1</v>
      </c>
      <c r="AG34" s="21">
        <f>AF34+1</f>
        <v>1.1000000000000001</v>
      </c>
      <c r="AH34" s="32"/>
    </row>
    <row r="35" spans="15:41" x14ac:dyDescent="0.2">
      <c r="AE35" s="18" t="s">
        <v>70</v>
      </c>
      <c r="AF35">
        <v>-0.05</v>
      </c>
      <c r="AG35" s="21">
        <f>AF35+1</f>
        <v>0.95</v>
      </c>
    </row>
    <row r="37" spans="15:41" x14ac:dyDescent="0.2">
      <c r="AE37" s="34"/>
      <c r="AF37" s="34"/>
      <c r="AG37" s="35" t="s">
        <v>72</v>
      </c>
      <c r="AH37" s="35"/>
      <c r="AI37" s="35"/>
      <c r="AJ37" s="35" t="s">
        <v>76</v>
      </c>
      <c r="AK37" s="35"/>
      <c r="AL37" s="35"/>
      <c r="AM37" s="35" t="s">
        <v>77</v>
      </c>
      <c r="AN37" s="35"/>
      <c r="AO37" s="35"/>
    </row>
    <row r="38" spans="15:41" x14ac:dyDescent="0.2">
      <c r="AE38" s="15" t="s">
        <v>50</v>
      </c>
      <c r="AF38" s="15" t="s">
        <v>71</v>
      </c>
      <c r="AG38" s="15" t="s">
        <v>73</v>
      </c>
      <c r="AH38" s="15" t="s">
        <v>74</v>
      </c>
      <c r="AI38" s="15" t="s">
        <v>75</v>
      </c>
      <c r="AJ38" s="15" t="s">
        <v>73</v>
      </c>
      <c r="AK38" s="15" t="s">
        <v>74</v>
      </c>
      <c r="AL38" s="15" t="s">
        <v>75</v>
      </c>
      <c r="AM38" s="15" t="s">
        <v>73</v>
      </c>
      <c r="AN38" s="15" t="s">
        <v>74</v>
      </c>
      <c r="AO38" s="15" t="s">
        <v>75</v>
      </c>
    </row>
    <row r="39" spans="15:41" x14ac:dyDescent="0.2">
      <c r="AE39">
        <v>1</v>
      </c>
      <c r="AF39">
        <f>PRODUCT(AG32)</f>
        <v>1</v>
      </c>
      <c r="AH39">
        <f>0.5*3/4*3/4</f>
        <v>0.28125</v>
      </c>
      <c r="AJ39" s="33"/>
      <c r="AK39" s="33">
        <f>SUMPRODUCT(AH39:AH42,AF39:AF42)</f>
        <v>1.0636875000000001</v>
      </c>
      <c r="AL39" s="33"/>
      <c r="AM39" s="33"/>
      <c r="AN39" s="33">
        <f>$AF$42/AK39</f>
        <v>1.0512015982137612</v>
      </c>
      <c r="AO39" s="33"/>
    </row>
    <row r="40" spans="15:41" x14ac:dyDescent="0.2">
      <c r="AE40">
        <v>2</v>
      </c>
      <c r="AF40">
        <f>PRODUCT(AG32:AG33)</f>
        <v>1.07</v>
      </c>
      <c r="AH40">
        <f>1-AH39-AH41</f>
        <v>0.59375</v>
      </c>
      <c r="AJ40" s="33"/>
      <c r="AK40" s="33"/>
      <c r="AL40" s="33"/>
      <c r="AM40" s="33"/>
      <c r="AN40" s="33"/>
      <c r="AO40" s="33"/>
    </row>
    <row r="41" spans="15:41" x14ac:dyDescent="0.2">
      <c r="AE41">
        <v>3</v>
      </c>
      <c r="AF41">
        <f>PRODUCT(AG32:AG34)</f>
        <v>1.1770000000000003</v>
      </c>
      <c r="AH41">
        <v>0.125</v>
      </c>
      <c r="AJ41" s="33"/>
      <c r="AK41" s="33"/>
      <c r="AL41" s="33"/>
      <c r="AM41" s="33"/>
      <c r="AN41" s="33"/>
      <c r="AO41" s="33"/>
    </row>
    <row r="42" spans="15:41" x14ac:dyDescent="0.2">
      <c r="AE42">
        <v>4</v>
      </c>
      <c r="AF42">
        <f>PRODUCT(AG32:AG35)</f>
        <v>1.1181500000000002</v>
      </c>
      <c r="AH42">
        <v>0</v>
      </c>
      <c r="AJ42" s="33"/>
      <c r="AK42" s="33"/>
      <c r="AL42" s="33"/>
      <c r="AM42" s="33"/>
      <c r="AN42" s="33"/>
      <c r="AO42" s="33"/>
    </row>
    <row r="44" spans="15:41" x14ac:dyDescent="0.2">
      <c r="AE44" s="34"/>
      <c r="AF44" s="34"/>
      <c r="AG44" s="35" t="s">
        <v>72</v>
      </c>
      <c r="AH44" s="35"/>
      <c r="AI44" s="35"/>
      <c r="AJ44" s="35" t="s">
        <v>76</v>
      </c>
      <c r="AK44" s="35"/>
      <c r="AL44" s="35"/>
      <c r="AM44" s="35" t="s">
        <v>77</v>
      </c>
      <c r="AN44" s="35"/>
      <c r="AO44" s="35"/>
    </row>
    <row r="45" spans="15:41" x14ac:dyDescent="0.2">
      <c r="AE45" s="15" t="s">
        <v>50</v>
      </c>
      <c r="AF45" s="15" t="s">
        <v>71</v>
      </c>
      <c r="AG45" s="15" t="s">
        <v>80</v>
      </c>
      <c r="AH45" s="15" t="s">
        <v>81</v>
      </c>
      <c r="AI45" s="15" t="s">
        <v>82</v>
      </c>
      <c r="AJ45" s="15" t="s">
        <v>80</v>
      </c>
      <c r="AK45" s="15" t="s">
        <v>81</v>
      </c>
      <c r="AL45" s="15" t="s">
        <v>82</v>
      </c>
      <c r="AM45" s="15" t="s">
        <v>80</v>
      </c>
      <c r="AN45" s="15" t="s">
        <v>81</v>
      </c>
      <c r="AO45" s="15" t="s">
        <v>82</v>
      </c>
    </row>
    <row r="46" spans="15:41" x14ac:dyDescent="0.2">
      <c r="AE46">
        <v>1</v>
      </c>
      <c r="AF46">
        <f>PRODUCT(AG32)</f>
        <v>1</v>
      </c>
      <c r="AH46">
        <v>0</v>
      </c>
      <c r="AJ46" s="33"/>
      <c r="AK46" s="33">
        <f>SUMPRODUCT(AH46:AH49,AF46:AF49)</f>
        <v>1.1161437500000002</v>
      </c>
      <c r="AL46" s="33"/>
      <c r="AM46" s="33"/>
      <c r="AN46" s="33">
        <f>$AF$49/AK46</f>
        <v>1.0017974835230676</v>
      </c>
      <c r="AO46" s="33"/>
    </row>
    <row r="47" spans="15:41" x14ac:dyDescent="0.2">
      <c r="AE47">
        <v>2</v>
      </c>
      <c r="AF47">
        <f>PRODUCT(AG32:AG33)</f>
        <v>1.07</v>
      </c>
      <c r="AH47">
        <v>0.5</v>
      </c>
      <c r="AJ47" s="33"/>
      <c r="AK47" s="33"/>
      <c r="AL47" s="33"/>
      <c r="AM47" s="33"/>
      <c r="AN47" s="33"/>
      <c r="AO47" s="33"/>
    </row>
    <row r="48" spans="15:41" x14ac:dyDescent="0.2">
      <c r="O48" t="s">
        <v>69</v>
      </c>
      <c r="AE48">
        <v>3</v>
      </c>
      <c r="AF48">
        <f>PRODUCT(AG32:AG34)</f>
        <v>1.1770000000000003</v>
      </c>
      <c r="AH48">
        <v>0.375</v>
      </c>
      <c r="AJ48" s="33"/>
      <c r="AK48" s="33"/>
      <c r="AL48" s="33"/>
      <c r="AM48" s="33"/>
      <c r="AN48" s="33"/>
      <c r="AO48" s="33"/>
    </row>
    <row r="49" spans="31:52" x14ac:dyDescent="0.2">
      <c r="AE49">
        <v>4</v>
      </c>
      <c r="AF49">
        <f>PRODUCT(AG32:AG35)</f>
        <v>1.1181500000000002</v>
      </c>
      <c r="AH49">
        <v>0.125</v>
      </c>
      <c r="AJ49" s="33"/>
      <c r="AK49" s="33"/>
      <c r="AL49" s="33"/>
      <c r="AM49" s="33"/>
      <c r="AN49" s="33"/>
      <c r="AO49" s="33"/>
    </row>
    <row r="53" spans="31:52" x14ac:dyDescent="0.2">
      <c r="AS53" s="15" t="s">
        <v>34</v>
      </c>
      <c r="AT53" s="15" t="s">
        <v>59</v>
      </c>
      <c r="AU53" s="15" t="s">
        <v>54</v>
      </c>
    </row>
    <row r="54" spans="31:52" x14ac:dyDescent="0.2">
      <c r="AS54" t="s">
        <v>52</v>
      </c>
      <c r="AT54" s="20" t="s">
        <v>53</v>
      </c>
      <c r="AU54">
        <v>1</v>
      </c>
    </row>
    <row r="55" spans="31:52" x14ac:dyDescent="0.2">
      <c r="AS55" s="18">
        <v>39356</v>
      </c>
      <c r="AT55" s="19">
        <v>0.05</v>
      </c>
      <c r="AU55" s="21">
        <f>AT55+1</f>
        <v>1.05</v>
      </c>
      <c r="AV55" s="32"/>
    </row>
    <row r="56" spans="31:52" x14ac:dyDescent="0.2">
      <c r="AS56" s="18" t="s">
        <v>83</v>
      </c>
      <c r="AT56" s="19">
        <v>0.1</v>
      </c>
      <c r="AU56" s="21">
        <f>AT56+1</f>
        <v>1.1000000000000001</v>
      </c>
    </row>
    <row r="58" spans="31:52" ht="32" customHeight="1" x14ac:dyDescent="0.2">
      <c r="AS58" s="34"/>
      <c r="AT58" s="34"/>
      <c r="AU58" s="35" t="s">
        <v>72</v>
      </c>
      <c r="AV58" s="35"/>
      <c r="AW58" s="36" t="s">
        <v>76</v>
      </c>
      <c r="AX58" s="36"/>
      <c r="AY58" s="35" t="s">
        <v>77</v>
      </c>
      <c r="AZ58" s="35"/>
    </row>
    <row r="59" spans="31:52" x14ac:dyDescent="0.2">
      <c r="AS59" s="15" t="s">
        <v>50</v>
      </c>
      <c r="AT59" s="15" t="s">
        <v>71</v>
      </c>
      <c r="AU59" s="15" t="s">
        <v>78</v>
      </c>
      <c r="AV59" s="15" t="s">
        <v>79</v>
      </c>
      <c r="AW59" s="15" t="s">
        <v>78</v>
      </c>
      <c r="AX59" s="15" t="s">
        <v>79</v>
      </c>
      <c r="AY59" s="15" t="s">
        <v>78</v>
      </c>
      <c r="AZ59" s="15" t="s">
        <v>79</v>
      </c>
    </row>
    <row r="60" spans="31:52" x14ac:dyDescent="0.2">
      <c r="AS60">
        <v>1</v>
      </c>
      <c r="AT60">
        <f>PRODUCT(AU54)</f>
        <v>1</v>
      </c>
      <c r="AV60">
        <f>1/16</f>
        <v>6.25E-2</v>
      </c>
      <c r="AW60" s="33"/>
      <c r="AX60" s="33">
        <f>SUMPRODUCT(AV60:AV62,AT60:AT62)</f>
        <v>1.0993750000000002</v>
      </c>
      <c r="AY60" s="33"/>
      <c r="AZ60" s="33">
        <f>$AT$62/AX60</f>
        <v>1.0505969300739058</v>
      </c>
    </row>
    <row r="61" spans="31:52" x14ac:dyDescent="0.2">
      <c r="AS61">
        <v>2</v>
      </c>
      <c r="AT61">
        <f>PRODUCT(AU54:AU55)</f>
        <v>1.05</v>
      </c>
      <c r="AV61">
        <f>0.5-AV60</f>
        <v>0.4375</v>
      </c>
      <c r="AW61" s="33"/>
      <c r="AX61" s="33"/>
      <c r="AY61" s="33"/>
      <c r="AZ61" s="33"/>
    </row>
    <row r="62" spans="31:52" x14ac:dyDescent="0.2">
      <c r="AS62">
        <v>3</v>
      </c>
      <c r="AT62">
        <f>PRODUCT(AU54:AU56)</f>
        <v>1.1550000000000002</v>
      </c>
      <c r="AV62">
        <v>0.5</v>
      </c>
      <c r="AW62" s="33"/>
      <c r="AX62" s="33"/>
      <c r="AY62" s="33"/>
      <c r="AZ62" s="33"/>
    </row>
    <row r="63" spans="31:52" x14ac:dyDescent="0.2">
      <c r="AW63" s="23"/>
      <c r="AX63" s="23"/>
      <c r="AY63" s="23"/>
      <c r="AZ63" s="23"/>
    </row>
  </sheetData>
  <mergeCells count="40">
    <mergeCell ref="W23:Z23"/>
    <mergeCell ref="M23:N23"/>
    <mergeCell ref="Z25:Z27"/>
    <mergeCell ref="Y25:Y27"/>
    <mergeCell ref="X25:X27"/>
    <mergeCell ref="W25:W27"/>
    <mergeCell ref="O23:R23"/>
    <mergeCell ref="S25:S27"/>
    <mergeCell ref="T25:T27"/>
    <mergeCell ref="U25:U27"/>
    <mergeCell ref="V25:V27"/>
    <mergeCell ref="S23:V23"/>
    <mergeCell ref="AJ46:AJ49"/>
    <mergeCell ref="AK46:AK49"/>
    <mergeCell ref="AL46:AL49"/>
    <mergeCell ref="AM46:AM49"/>
    <mergeCell ref="AN46:AN49"/>
    <mergeCell ref="AM37:AO37"/>
    <mergeCell ref="AE44:AF44"/>
    <mergeCell ref="AG44:AI44"/>
    <mergeCell ref="AJ44:AL44"/>
    <mergeCell ref="AM44:AO44"/>
    <mergeCell ref="AO39:AO42"/>
    <mergeCell ref="AN39:AN42"/>
    <mergeCell ref="AM39:AM42"/>
    <mergeCell ref="AG37:AI37"/>
    <mergeCell ref="AE37:AF37"/>
    <mergeCell ref="AJ37:AL37"/>
    <mergeCell ref="AL39:AL42"/>
    <mergeCell ref="AK39:AK42"/>
    <mergeCell ref="AJ39:AJ42"/>
    <mergeCell ref="AW60:AW62"/>
    <mergeCell ref="AZ60:AZ62"/>
    <mergeCell ref="AY60:AY62"/>
    <mergeCell ref="AX60:AX62"/>
    <mergeCell ref="AO46:AO49"/>
    <mergeCell ref="AS58:AT58"/>
    <mergeCell ref="AU58:AV58"/>
    <mergeCell ref="AW58:AX58"/>
    <mergeCell ref="AY58:AZ58"/>
  </mergeCells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E13D7-1175-664F-8D0F-143E3674FA37}">
  <dimension ref="B4:R38"/>
  <sheetViews>
    <sheetView tabSelected="1" workbookViewId="0">
      <selection activeCell="R38" sqref="R38"/>
    </sheetView>
  </sheetViews>
  <sheetFormatPr baseColWidth="10" defaultRowHeight="16" x14ac:dyDescent="0.2"/>
  <sheetData>
    <row r="4" spans="2:15" x14ac:dyDescent="0.2">
      <c r="C4" s="11" t="s">
        <v>84</v>
      </c>
      <c r="J4" s="11" t="s">
        <v>89</v>
      </c>
      <c r="O4" s="51" t="s">
        <v>94</v>
      </c>
    </row>
    <row r="5" spans="2:15" x14ac:dyDescent="0.2">
      <c r="B5" s="11" t="s">
        <v>88</v>
      </c>
      <c r="C5" s="11">
        <v>12</v>
      </c>
      <c r="D5" s="11">
        <v>24</v>
      </c>
      <c r="E5" s="11">
        <v>36</v>
      </c>
      <c r="I5" s="11" t="s">
        <v>88</v>
      </c>
      <c r="J5" s="11">
        <v>12</v>
      </c>
      <c r="K5" s="11">
        <v>24</v>
      </c>
      <c r="L5" s="11">
        <v>36</v>
      </c>
    </row>
    <row r="6" spans="2:15" x14ac:dyDescent="0.2">
      <c r="B6" s="12">
        <v>2014</v>
      </c>
      <c r="C6" s="48">
        <v>1150</v>
      </c>
      <c r="D6" s="48">
        <v>2250</v>
      </c>
      <c r="E6" s="48">
        <v>3000</v>
      </c>
      <c r="I6" s="12">
        <v>2014</v>
      </c>
      <c r="J6" s="49">
        <f>C6/C13</f>
        <v>0.22330097087378642</v>
      </c>
      <c r="K6" s="49">
        <f t="shared" ref="K6:L6" si="0">D6/D13</f>
        <v>0.3125</v>
      </c>
      <c r="L6" s="49">
        <f t="shared" si="0"/>
        <v>0.375</v>
      </c>
    </row>
    <row r="7" spans="2:15" x14ac:dyDescent="0.2">
      <c r="B7" s="12">
        <v>2015</v>
      </c>
      <c r="C7" s="48">
        <v>1250</v>
      </c>
      <c r="D7" s="48">
        <v>2400</v>
      </c>
      <c r="E7" s="12"/>
      <c r="I7" s="12">
        <v>2015</v>
      </c>
      <c r="J7" s="49">
        <f>C7/C14</f>
        <v>0.26041666666666669</v>
      </c>
      <c r="K7" s="49">
        <f>D7/D14</f>
        <v>0.35820895522388058</v>
      </c>
      <c r="L7" s="50"/>
    </row>
    <row r="8" spans="2:15" x14ac:dyDescent="0.2">
      <c r="B8" s="12">
        <v>2016</v>
      </c>
      <c r="C8" s="48">
        <v>1550</v>
      </c>
      <c r="D8" s="12"/>
      <c r="I8" s="12">
        <v>2016</v>
      </c>
      <c r="J8" s="49">
        <f>C8/C15</f>
        <v>0.32631578947368423</v>
      </c>
      <c r="K8" s="50"/>
      <c r="L8" s="22"/>
    </row>
    <row r="11" spans="2:15" x14ac:dyDescent="0.2">
      <c r="C11" s="11" t="s">
        <v>85</v>
      </c>
      <c r="J11" s="11" t="s">
        <v>90</v>
      </c>
      <c r="O11" s="51" t="s">
        <v>93</v>
      </c>
    </row>
    <row r="12" spans="2:15" x14ac:dyDescent="0.2">
      <c r="B12" s="11" t="s">
        <v>88</v>
      </c>
      <c r="C12" s="11">
        <v>12</v>
      </c>
      <c r="D12" s="11">
        <v>24</v>
      </c>
      <c r="E12" s="11">
        <v>36</v>
      </c>
      <c r="I12" s="11" t="s">
        <v>88</v>
      </c>
      <c r="J12" s="11">
        <v>12</v>
      </c>
      <c r="K12" s="11">
        <v>24</v>
      </c>
      <c r="L12" s="11">
        <v>36</v>
      </c>
    </row>
    <row r="13" spans="2:15" x14ac:dyDescent="0.2">
      <c r="B13" s="12">
        <v>2014</v>
      </c>
      <c r="C13" s="48">
        <v>5150</v>
      </c>
      <c r="D13" s="48">
        <v>7200</v>
      </c>
      <c r="E13" s="48">
        <v>8000</v>
      </c>
      <c r="I13" s="12">
        <v>2014</v>
      </c>
      <c r="J13" s="49">
        <f>(C20-C27)/C20</f>
        <v>0.49019607843137253</v>
      </c>
      <c r="K13" s="49">
        <f t="shared" ref="K13:L13" si="1">(D20-D27)/D20</f>
        <v>0.73831775700934577</v>
      </c>
      <c r="L13" s="49">
        <f t="shared" si="1"/>
        <v>0.88888888888888884</v>
      </c>
    </row>
    <row r="14" spans="2:15" x14ac:dyDescent="0.2">
      <c r="B14" s="12">
        <v>2015</v>
      </c>
      <c r="C14" s="48">
        <v>4800</v>
      </c>
      <c r="D14" s="48">
        <v>6700</v>
      </c>
      <c r="E14" s="12"/>
      <c r="I14" s="12">
        <v>2015</v>
      </c>
      <c r="J14" s="49">
        <f t="shared" ref="J14:K15" si="2">(C21-C28)/C21</f>
        <v>0.52083333333333337</v>
      </c>
      <c r="K14" s="49">
        <f>(D21-D28)/D21</f>
        <v>0.75247524752475248</v>
      </c>
      <c r="L14" s="50"/>
    </row>
    <row r="15" spans="2:15" x14ac:dyDescent="0.2">
      <c r="B15" s="12">
        <v>2016</v>
      </c>
      <c r="C15" s="48">
        <v>4750</v>
      </c>
      <c r="D15" s="12"/>
      <c r="I15" s="12">
        <v>2016</v>
      </c>
      <c r="J15" s="49">
        <f t="shared" si="2"/>
        <v>0.5757575757575758</v>
      </c>
      <c r="K15" s="50"/>
      <c r="L15" s="22"/>
    </row>
    <row r="18" spans="2:15" x14ac:dyDescent="0.2">
      <c r="B18" s="11"/>
      <c r="C18" s="11" t="s">
        <v>86</v>
      </c>
      <c r="J18" s="11" t="s">
        <v>91</v>
      </c>
      <c r="O18" s="51" t="s">
        <v>92</v>
      </c>
    </row>
    <row r="19" spans="2:15" x14ac:dyDescent="0.2">
      <c r="B19" s="11" t="s">
        <v>88</v>
      </c>
      <c r="C19" s="11">
        <v>12</v>
      </c>
      <c r="D19" s="11">
        <v>24</v>
      </c>
      <c r="E19" s="11">
        <v>36</v>
      </c>
      <c r="I19" s="11" t="s">
        <v>88</v>
      </c>
      <c r="J19" s="11">
        <v>12</v>
      </c>
      <c r="K19" s="11">
        <v>24</v>
      </c>
      <c r="L19" s="11">
        <v>36</v>
      </c>
    </row>
    <row r="20" spans="2:15" x14ac:dyDescent="0.2">
      <c r="B20" s="12">
        <v>2014</v>
      </c>
      <c r="C20" s="12">
        <v>102</v>
      </c>
      <c r="D20" s="12">
        <v>107</v>
      </c>
      <c r="E20" s="12">
        <v>108</v>
      </c>
      <c r="I20" s="12">
        <v>2014</v>
      </c>
      <c r="J20" s="52">
        <f>(C13-C6)/C27</f>
        <v>76.92307692307692</v>
      </c>
      <c r="K20" s="52">
        <f t="shared" ref="K20:L20" si="3">(D13-D6)/D27</f>
        <v>176.78571428571428</v>
      </c>
      <c r="L20" s="52">
        <f t="shared" si="3"/>
        <v>416.66666666666669</v>
      </c>
    </row>
    <row r="21" spans="2:15" x14ac:dyDescent="0.2">
      <c r="B21" s="12">
        <v>2015</v>
      </c>
      <c r="C21" s="12">
        <v>96</v>
      </c>
      <c r="D21" s="12">
        <v>101</v>
      </c>
      <c r="E21" s="12"/>
      <c r="I21" s="12">
        <v>2015</v>
      </c>
      <c r="J21" s="52">
        <f t="shared" ref="J21:K22" si="4">(C14-C7)/C28</f>
        <v>77.173913043478265</v>
      </c>
      <c r="K21" s="52">
        <f t="shared" si="4"/>
        <v>172</v>
      </c>
      <c r="L21" s="52"/>
    </row>
    <row r="22" spans="2:15" x14ac:dyDescent="0.2">
      <c r="B22" s="12">
        <v>2016</v>
      </c>
      <c r="C22" s="12">
        <v>99</v>
      </c>
      <c r="D22" s="12"/>
      <c r="I22" s="12">
        <v>2016</v>
      </c>
      <c r="J22" s="52">
        <f t="shared" si="4"/>
        <v>76.19047619047619</v>
      </c>
      <c r="K22" s="52"/>
      <c r="L22" s="53"/>
    </row>
    <row r="25" spans="2:15" x14ac:dyDescent="0.2">
      <c r="C25" s="11" t="s">
        <v>87</v>
      </c>
    </row>
    <row r="26" spans="2:15" x14ac:dyDescent="0.2">
      <c r="B26" s="11" t="s">
        <v>88</v>
      </c>
      <c r="C26" s="11">
        <v>12</v>
      </c>
      <c r="D26" s="11">
        <v>24</v>
      </c>
      <c r="E26" s="11">
        <v>36</v>
      </c>
    </row>
    <row r="27" spans="2:15" x14ac:dyDescent="0.2">
      <c r="B27" s="12">
        <v>2014</v>
      </c>
      <c r="C27" s="12">
        <v>52</v>
      </c>
      <c r="D27" s="12">
        <v>28</v>
      </c>
      <c r="E27" s="12">
        <v>12</v>
      </c>
    </row>
    <row r="28" spans="2:15" x14ac:dyDescent="0.2">
      <c r="B28" s="12">
        <v>2015</v>
      </c>
      <c r="C28" s="12">
        <v>46</v>
      </c>
      <c r="D28" s="12">
        <v>25</v>
      </c>
      <c r="E28" s="12"/>
    </row>
    <row r="29" spans="2:15" x14ac:dyDescent="0.2">
      <c r="B29" s="12">
        <v>2016</v>
      </c>
      <c r="C29" s="12">
        <v>42</v>
      </c>
      <c r="D29" s="12"/>
    </row>
    <row r="38" spans="18:18" x14ac:dyDescent="0.2">
      <c r="R38" t="s">
        <v>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2.2.1</vt:lpstr>
      <vt:lpstr>2.2.2</vt:lpstr>
      <vt:lpstr>2.3.1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Gearhart, Colton</dc:creator>
  <cp:lastModifiedBy>Gearhart, Colton</cp:lastModifiedBy>
  <dcterms:created xsi:type="dcterms:W3CDTF">2025-01-24T19:52:59Z</dcterms:created>
  <dcterms:modified xsi:type="dcterms:W3CDTF">2025-02-04T17:12:10Z</dcterms:modified>
</cp:coreProperties>
</file>