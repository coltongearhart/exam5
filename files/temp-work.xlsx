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coltongearhart/Desktop/exam5/files/"/>
    </mc:Choice>
  </mc:AlternateContent>
  <xr:revisionPtr revIDLastSave="0" documentId="13_ncr:1_{F3149601-6926-F14E-BCA9-42D79DCD5816}" xr6:coauthVersionLast="47" xr6:coauthVersionMax="47" xr10:uidLastSave="{00000000-0000-0000-0000-000000000000}"/>
  <bookViews>
    <workbookView xWindow="1100" yWindow="820" windowWidth="28040" windowHeight="17440" activeTab="5" xr2:uid="{BB8505BC-BCB7-B340-A120-C046C43AD7BD}"/>
  </bookViews>
  <sheets>
    <sheet name="2.2.1" sheetId="1" r:id="rId1"/>
    <sheet name="2.2.2" sheetId="2" r:id="rId2"/>
    <sheet name="2.3.1" sheetId="3" r:id="rId3"/>
    <sheet name="2.3.3" sheetId="4" r:id="rId4"/>
    <sheet name="2.4.3" sheetId="5" r:id="rId5"/>
    <sheet name="2.5.3"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74" i="6" l="1"/>
  <c r="AM69" i="6"/>
  <c r="AM68" i="6"/>
  <c r="AL69" i="6"/>
  <c r="AL70" i="6"/>
  <c r="AL71" i="6"/>
  <c r="AL68" i="6"/>
  <c r="AM71" i="6"/>
  <c r="AM70" i="6"/>
  <c r="AM72" i="6"/>
  <c r="AM58" i="6"/>
  <c r="AM51" i="6"/>
  <c r="AL58" i="6"/>
  <c r="AL59" i="6"/>
  <c r="AM59" i="6" s="1"/>
  <c r="AL60" i="6"/>
  <c r="AM60" i="6" s="1"/>
  <c r="AL61" i="6"/>
  <c r="AM61" i="6" s="1"/>
  <c r="AL53" i="6"/>
  <c r="AM53" i="6" s="1"/>
  <c r="AO53" i="6" s="1"/>
  <c r="AL54" i="6"/>
  <c r="AM54" i="6" s="1"/>
  <c r="AO54" i="6" s="1"/>
  <c r="AL52" i="6"/>
  <c r="AM52" i="6" s="1"/>
  <c r="AO52" i="6" s="1"/>
  <c r="AL51" i="6"/>
  <c r="AO51" i="6" s="1"/>
  <c r="V44" i="6"/>
  <c r="W44" i="6" s="1"/>
  <c r="V43" i="6"/>
  <c r="W43" i="6" s="1"/>
  <c r="V36" i="6"/>
  <c r="X36" i="6"/>
  <c r="W36" i="6"/>
  <c r="V35" i="6"/>
  <c r="W35" i="6" s="1"/>
  <c r="Y35" i="6" s="1"/>
  <c r="D17" i="6"/>
  <c r="E17" i="6"/>
  <c r="C17" i="6"/>
  <c r="D16" i="6"/>
  <c r="E16" i="6"/>
  <c r="C16" i="6"/>
  <c r="D15" i="6"/>
  <c r="E15" i="6"/>
  <c r="C15" i="6"/>
  <c r="C18" i="6"/>
  <c r="D18" i="6"/>
  <c r="E18" i="6"/>
  <c r="I18" i="6" s="1"/>
  <c r="J28" i="6" s="1"/>
  <c r="D19" i="5"/>
  <c r="C16" i="5"/>
  <c r="C14" i="5"/>
  <c r="C15" i="5"/>
  <c r="C13" i="5"/>
  <c r="C17" i="5"/>
  <c r="D16" i="5"/>
  <c r="D15" i="5"/>
  <c r="D14" i="5"/>
  <c r="D13" i="5"/>
  <c r="D17" i="5" s="1"/>
  <c r="D10" i="5"/>
  <c r="C10" i="5"/>
  <c r="D6" i="5"/>
  <c r="D7" i="5"/>
  <c r="D8" i="5"/>
  <c r="D9" i="5"/>
  <c r="AA168" i="4"/>
  <c r="Z172" i="4"/>
  <c r="AA171" i="4"/>
  <c r="AA170" i="4"/>
  <c r="AA169" i="4"/>
  <c r="AA172" i="4"/>
  <c r="Z163" i="4"/>
  <c r="Z165" i="4"/>
  <c r="Z164" i="4"/>
  <c r="Z160" i="4"/>
  <c r="Z159" i="4"/>
  <c r="Z158" i="4"/>
  <c r="AA144" i="4"/>
  <c r="Z145" i="4"/>
  <c r="Z133" i="4"/>
  <c r="Z138" i="4" s="1"/>
  <c r="AA143" i="4" s="1"/>
  <c r="Z127" i="4"/>
  <c r="Z128" i="4"/>
  <c r="AA127" i="4"/>
  <c r="AA126" i="4"/>
  <c r="Z132" i="4" s="1"/>
  <c r="Z137" i="4" s="1"/>
  <c r="AA142" i="4" s="1"/>
  <c r="AB126" i="4"/>
  <c r="Z126" i="4"/>
  <c r="Z131" i="4" s="1"/>
  <c r="Z136" i="4" s="1"/>
  <c r="AA141" i="4" s="1"/>
  <c r="AA145" i="4" s="1"/>
  <c r="S108" i="4"/>
  <c r="R109" i="4"/>
  <c r="U87" i="4"/>
  <c r="R94" i="4" s="1"/>
  <c r="T87" i="4"/>
  <c r="T88" i="4"/>
  <c r="S87" i="4"/>
  <c r="S88" i="4"/>
  <c r="S89" i="4"/>
  <c r="T86" i="4"/>
  <c r="R93" i="4" s="1"/>
  <c r="U86" i="4"/>
  <c r="V86" i="4"/>
  <c r="R95" i="4" s="1"/>
  <c r="R101" i="4" s="1"/>
  <c r="S107" i="4" s="1"/>
  <c r="S86" i="4"/>
  <c r="R92" i="4" s="1"/>
  <c r="AM62" i="6" l="1"/>
  <c r="AK64" i="6" s="1"/>
  <c r="W45" i="6"/>
  <c r="W47" i="6" s="1"/>
  <c r="I28" i="6"/>
  <c r="AO55" i="6"/>
  <c r="Y36" i="6"/>
  <c r="Y37" i="6" s="1"/>
  <c r="Y39" i="6" s="1"/>
  <c r="I16" i="6"/>
  <c r="I15" i="6"/>
  <c r="I17" i="6"/>
  <c r="R100" i="4"/>
  <c r="S106" i="4" s="1"/>
  <c r="R99" i="4"/>
  <c r="S105" i="4" s="1"/>
  <c r="R98" i="4"/>
  <c r="S104" i="4" s="1"/>
  <c r="S109" i="4" s="1"/>
  <c r="U109" i="4" s="1"/>
  <c r="L52" i="4"/>
  <c r="K65" i="4" s="1"/>
  <c r="J68" i="4" s="1"/>
  <c r="L53" i="4"/>
  <c r="L54" i="4"/>
  <c r="L51" i="4"/>
  <c r="C45" i="4"/>
  <c r="D44" i="4"/>
  <c r="F14" i="4"/>
  <c r="E14" i="4"/>
  <c r="E15" i="4"/>
  <c r="D14" i="4"/>
  <c r="D15" i="4"/>
  <c r="D16" i="4"/>
  <c r="C16" i="4"/>
  <c r="C15" i="4"/>
  <c r="C13" i="4"/>
  <c r="C14" i="4"/>
  <c r="G13" i="4"/>
  <c r="F13" i="4"/>
  <c r="E13" i="4"/>
  <c r="D13" i="4"/>
  <c r="C20" i="4" s="1"/>
  <c r="C37" i="4"/>
  <c r="K21" i="3"/>
  <c r="K20" i="3"/>
  <c r="L20" i="3"/>
  <c r="J21" i="3"/>
  <c r="J22" i="3"/>
  <c r="J20" i="3"/>
  <c r="K14" i="3"/>
  <c r="J14" i="3"/>
  <c r="J15" i="3"/>
  <c r="K13" i="3"/>
  <c r="L13" i="3"/>
  <c r="J13" i="3"/>
  <c r="J8" i="3"/>
  <c r="K7" i="3"/>
  <c r="J7" i="3"/>
  <c r="K6" i="3"/>
  <c r="L6" i="3"/>
  <c r="J6" i="3"/>
  <c r="AV61" i="2"/>
  <c r="AX60" i="2" s="1"/>
  <c r="AZ60" i="2" s="1"/>
  <c r="AV60" i="2"/>
  <c r="AN39" i="2"/>
  <c r="AN46" i="2"/>
  <c r="AT62" i="2"/>
  <c r="AT61" i="2"/>
  <c r="AT60" i="2"/>
  <c r="AU56" i="2"/>
  <c r="AU55" i="2"/>
  <c r="AF46" i="2"/>
  <c r="AH39" i="2"/>
  <c r="AH40" i="2" s="1"/>
  <c r="AF39" i="2"/>
  <c r="AG35" i="2"/>
  <c r="AG34" i="2"/>
  <c r="AG33" i="2"/>
  <c r="AF41" i="2" s="1"/>
  <c r="I27" i="6" l="1"/>
  <c r="J27" i="6"/>
  <c r="I26" i="6"/>
  <c r="J26" i="6"/>
  <c r="I19" i="6"/>
  <c r="J25" i="6"/>
  <c r="I25" i="6"/>
  <c r="I29" i="6" s="1"/>
  <c r="D20" i="4"/>
  <c r="D22" i="4"/>
  <c r="D21" i="4"/>
  <c r="C26" i="4"/>
  <c r="E20" i="4"/>
  <c r="C29" i="4"/>
  <c r="C36" i="4" s="1"/>
  <c r="D43" i="4" s="1"/>
  <c r="E21" i="4"/>
  <c r="C23" i="4"/>
  <c r="C22" i="4"/>
  <c r="C21" i="4"/>
  <c r="C27" i="4"/>
  <c r="C28" i="4"/>
  <c r="F20" i="4"/>
  <c r="AF47" i="2"/>
  <c r="AF48" i="2"/>
  <c r="AF49" i="2"/>
  <c r="AF42" i="2"/>
  <c r="AF40" i="2"/>
  <c r="AK39" i="2" s="1"/>
  <c r="AK46" i="2"/>
  <c r="N27" i="2"/>
  <c r="N26" i="2"/>
  <c r="N25" i="2"/>
  <c r="O21" i="2"/>
  <c r="O20" i="2"/>
  <c r="H18" i="2"/>
  <c r="G18" i="2"/>
  <c r="I18" i="2" s="1"/>
  <c r="H17" i="2"/>
  <c r="G17" i="2"/>
  <c r="H16" i="2"/>
  <c r="G16" i="2"/>
  <c r="I16" i="2" s="1"/>
  <c r="H15" i="2"/>
  <c r="G15" i="2"/>
  <c r="I15" i="2" s="1"/>
  <c r="H14" i="2"/>
  <c r="G14" i="2"/>
  <c r="I14" i="2" s="1"/>
  <c r="H13" i="2"/>
  <c r="G13" i="2"/>
  <c r="I13" i="2" s="1"/>
  <c r="J13" i="1"/>
  <c r="K14" i="1"/>
  <c r="K11" i="1"/>
  <c r="K12" i="1"/>
  <c r="K13" i="1"/>
  <c r="K10" i="1"/>
  <c r="J11" i="1"/>
  <c r="J12" i="1"/>
  <c r="H19" i="1"/>
  <c r="J14" i="1" s="1"/>
  <c r="H18" i="1"/>
  <c r="K9" i="1" s="1"/>
  <c r="E19" i="1"/>
  <c r="E18" i="1"/>
  <c r="J29" i="6" l="1"/>
  <c r="C35" i="4"/>
  <c r="D42" i="4" s="1"/>
  <c r="C34" i="4"/>
  <c r="D41" i="4" s="1"/>
  <c r="C33" i="4"/>
  <c r="D40" i="4" s="1"/>
  <c r="D45" i="4" s="1"/>
  <c r="T25" i="2"/>
  <c r="X25" i="2" s="1"/>
  <c r="I17" i="2"/>
  <c r="S25" i="2"/>
  <c r="V25" i="2"/>
  <c r="Z25" i="2" s="1"/>
  <c r="U25" i="2"/>
  <c r="Y25" i="2" s="1"/>
  <c r="W25" i="2"/>
  <c r="I19" i="2"/>
  <c r="J9" i="1"/>
  <c r="J10" i="1"/>
  <c r="K8" i="1"/>
  <c r="K15" i="1" s="1"/>
  <c r="K18" i="1" s="1"/>
  <c r="J8" i="1"/>
  <c r="J15" i="1" s="1"/>
</calcChain>
</file>

<file path=xl/sharedStrings.xml><?xml version="1.0" encoding="utf-8"?>
<sst xmlns="http://schemas.openxmlformats.org/spreadsheetml/2006/main" count="512" uniqueCount="283">
  <si>
    <t>Ratio to SAWW</t>
  </si>
  <si>
    <t># of Workers</t>
  </si>
  <si>
    <t>Total Weekly Wages</t>
  </si>
  <si>
    <t>&lt;50%</t>
  </si>
  <si>
    <t>50-60%</t>
  </si>
  <si>
    <t>60-75%</t>
  </si>
  <si>
    <t>75-100%</t>
  </si>
  <si>
    <t>100-125%</t>
  </si>
  <si>
    <t>125-150%</t>
  </si>
  <si>
    <t>&gt;150%</t>
  </si>
  <si>
    <t>Total</t>
  </si>
  <si>
    <t>X</t>
  </si>
  <si>
    <t>Y</t>
  </si>
  <si>
    <t>SAWW</t>
  </si>
  <si>
    <t>Comp rate</t>
  </si>
  <si>
    <t>Min benefit</t>
  </si>
  <si>
    <t>Max benefit</t>
  </si>
  <si>
    <t>Currrent</t>
  </si>
  <si>
    <t>Proposed</t>
  </si>
  <si>
    <t>NA</t>
  </si>
  <si>
    <t>Current benefit</t>
  </si>
  <si>
    <t>min benefits ratio to SAWW</t>
  </si>
  <si>
    <t>Current - calcs</t>
  </si>
  <si>
    <t>max benefits ratio to SAWW</t>
  </si>
  <si>
    <t>Proposed - calcs</t>
  </si>
  <si>
    <t>=0.45/0.60</t>
  </si>
  <si>
    <t>=0.9/0.6</t>
  </si>
  <si>
    <t>-&gt; 0.45*1200=</t>
  </si>
  <si>
    <t>-&gt; 0.90*1200=</t>
  </si>
  <si>
    <t>0.6Y &lt; or using min / max benefit * X &gt;</t>
  </si>
  <si>
    <t>0.75Y &lt; or using min benefit * X &gt;</t>
  </si>
  <si>
    <t>Proposed benefit</t>
  </si>
  <si>
    <t>direct effect</t>
  </si>
  <si>
    <t>= proposed benefit / current benefit</t>
  </si>
  <si>
    <t>Effective Date</t>
  </si>
  <si>
    <t>Policy Fee</t>
  </si>
  <si>
    <t>Class Factor</t>
  </si>
  <si>
    <t>Territory Factor</t>
  </si>
  <si>
    <t>A</t>
  </si>
  <si>
    <t>B</t>
  </si>
  <si>
    <t>Lookups</t>
  </si>
  <si>
    <t>Base rate</t>
  </si>
  <si>
    <t>Policy</t>
  </si>
  <si>
    <t># of Written Exposures</t>
  </si>
  <si>
    <t>key1</t>
  </si>
  <si>
    <t>key2</t>
  </si>
  <si>
    <t>data</t>
  </si>
  <si>
    <t>Premium per exposure</t>
  </si>
  <si>
    <t>% EE</t>
  </si>
  <si>
    <t>EP</t>
  </si>
  <si>
    <t>Group</t>
  </si>
  <si>
    <t>Cumulative Rate Level Index</t>
  </si>
  <si>
    <t>Initial</t>
  </si>
  <si>
    <t>--</t>
  </si>
  <si>
    <t>Index</t>
  </si>
  <si>
    <t>2016 Q1</t>
  </si>
  <si>
    <t>2016 Q2</t>
  </si>
  <si>
    <t>2016 Q3</t>
  </si>
  <si>
    <t>2016 Q4</t>
  </si>
  <si>
    <t>Overall Rate Change %</t>
  </si>
  <si>
    <t>Portions</t>
  </si>
  <si>
    <t>On-Level Factor</t>
  </si>
  <si>
    <t>Average Cumlative Rate Level Index</t>
  </si>
  <si>
    <t>constants (given / manully figure out)</t>
  </si>
  <si>
    <t>SUMPRODUCT(O25:O27,$N$25:$N$27)</t>
  </si>
  <si>
    <t>$N$27/S25</t>
  </si>
  <si>
    <t>PRODUCT(O19:O21)</t>
  </si>
  <si>
    <t>N21+1</t>
  </si>
  <si>
    <r>
      <t xml:space="preserve">formulas </t>
    </r>
    <r>
      <rPr>
        <sz val="12"/>
        <color theme="5"/>
        <rFont val="Aptos Narrow (Body)"/>
      </rPr>
      <t>(actual formula)</t>
    </r>
  </si>
  <si>
    <t>di</t>
  </si>
  <si>
    <t>7/1/2003 - by law</t>
  </si>
  <si>
    <t>Cumulative rate level index</t>
  </si>
  <si>
    <t>Portion</t>
  </si>
  <si>
    <t>CY 2001</t>
  </si>
  <si>
    <t>CY 2002</t>
  </si>
  <si>
    <t>CY 2003</t>
  </si>
  <si>
    <t>Weighted average rate level index</t>
  </si>
  <si>
    <t>On-level factor</t>
  </si>
  <si>
    <t>CY 2007</t>
  </si>
  <si>
    <t>CY 2008</t>
  </si>
  <si>
    <t>PY 2001</t>
  </si>
  <si>
    <t>PY 2002</t>
  </si>
  <si>
    <t>PY 2003</t>
  </si>
  <si>
    <t>7/1/2008 - by law</t>
  </si>
  <si>
    <t>Cumulative Paid Claims ($000) as of (months)</t>
  </si>
  <si>
    <t>Cumulative Reported Claims ($000) as of (months)</t>
  </si>
  <si>
    <t>Cumulative Reported Claim Counts as of (months)</t>
  </si>
  <si>
    <t>Open Claim Counts as of (months)</t>
  </si>
  <si>
    <t>AY</t>
  </si>
  <si>
    <t>Paid to Reported Claims Ratio as of (months)</t>
  </si>
  <si>
    <t>Closed to Reported Claim Count Ratio as of (months)</t>
  </si>
  <si>
    <t>Average Case Outstanding as of (months)</t>
  </si>
  <si>
    <t>= (Reported Losses - Paid Losses) / Open Claim Count</t>
  </si>
  <si>
    <t>(for claim counts): = (Reported - Open) / Reported</t>
  </si>
  <si>
    <t>(for losses): = Paid / Reported</t>
  </si>
  <si>
    <t xml:space="preserve"> </t>
  </si>
  <si>
    <t>Accident Year</t>
  </si>
  <si>
    <t>Incremental Reported Claims by Age ($US Millions)</t>
  </si>
  <si>
    <t>12 Months</t>
  </si>
  <si>
    <t>24 Months</t>
  </si>
  <si>
    <t>36 Months</t>
  </si>
  <si>
    <t>48 Months</t>
  </si>
  <si>
    <t>60 Months</t>
  </si>
  <si>
    <t>12-24</t>
  </si>
  <si>
    <t>24-36</t>
  </si>
  <si>
    <t>36-48</t>
  </si>
  <si>
    <t>48-60</t>
  </si>
  <si>
    <t>Age-to-age factors (months)</t>
  </si>
  <si>
    <t>Factor</t>
  </si>
  <si>
    <t>Age-to-age</t>
  </si>
  <si>
    <t>Volume-weighted factor</t>
  </si>
  <si>
    <t>60-Ult (tail)</t>
  </si>
  <si>
    <t>(given)</t>
  </si>
  <si>
    <t>Age-Ult</t>
  </si>
  <si>
    <t>12-Ult</t>
  </si>
  <si>
    <t>24-Ult</t>
  </si>
  <si>
    <t>36-Ult</t>
  </si>
  <si>
    <t>48-Ult</t>
  </si>
  <si>
    <t>=PRODUCT(C19:C23)</t>
  </si>
  <si>
    <t>60-Ult</t>
  </si>
  <si>
    <t>Projected ultimate reported claims</t>
  </si>
  <si>
    <t>12 months</t>
  </si>
  <si>
    <t>24 months</t>
  </si>
  <si>
    <t>36 months</t>
  </si>
  <si>
    <t>48 months</t>
  </si>
  <si>
    <t>60 months</t>
  </si>
  <si>
    <t>Cumulative Reported Claims by Age ($US Millions)</t>
  </si>
  <si>
    <t>=SUM(D13:D16)/SUM(C13:C16)</t>
  </si>
  <si>
    <t>Months</t>
  </si>
  <si>
    <t>AY 2021 reported claims</t>
  </si>
  <si>
    <t>=C40*C33</t>
  </si>
  <si>
    <t>=SUM(D40:D44)</t>
  </si>
  <si>
    <t>(actually not needed cause volume-weighted method)</t>
  </si>
  <si>
    <t>As of December 31, 2012</t>
  </si>
  <si>
    <t>Paid Losses</t>
  </si>
  <si>
    <t>Case Reserves</t>
  </si>
  <si>
    <t>Incurred losses</t>
  </si>
  <si>
    <t>=SUM(J51:K51)</t>
  </si>
  <si>
    <t>-&gt; This is the latest diagonal because of 'As of 12/12/2012'</t>
  </si>
  <si>
    <t>Estimated ultimate losses AY 2010 @ 36 months (as of 12/12/2012)</t>
  </si>
  <si>
    <t>Factor (link ratio)</t>
  </si>
  <si>
    <t>(solve for X ==&gt;</t>
  </si>
  <si>
    <t>Estimated ultimate losses AY 2011 @ 24 months (as of 12/12/2012)</t>
  </si>
  <si>
    <t>AY 2011 incurred losses</t>
  </si>
  <si>
    <t>=L52*PRODUCT(J59)</t>
  </si>
  <si>
    <t>&lt; using age-to-ult factors (CDFs) &gt;</t>
  </si>
  <si>
    <t>=L53*PRODUCT(J58:J59)</t>
  </si>
  <si>
    <t>Cumulative Paid Claims ($000s)</t>
  </si>
  <si>
    <t>Age of Development (Months)</t>
  </si>
  <si>
    <t>Earned Exposures</t>
  </si>
  <si>
    <t>Age to Age (Months)</t>
  </si>
  <si>
    <t>Medial average factor</t>
  </si>
  <si>
    <t>Age-to-ult</t>
  </si>
  <si>
    <t>=PRODUCT(R92:R95)</t>
  </si>
  <si>
    <t>Estimated ult paid claims</t>
  </si>
  <si>
    <t>=S81*R98</t>
  </si>
  <si>
    <t>==&gt; Unpaid:</t>
  </si>
  <si>
    <t>=S109-R109</t>
  </si>
  <si>
    <t>Company Data</t>
  </si>
  <si>
    <t>Age-age factors (months)</t>
  </si>
  <si>
    <t>Factor (simple average method)</t>
  </si>
  <si>
    <t>=AVERAGE(Z126:Z128)</t>
  </si>
  <si>
    <t>12-ult</t>
  </si>
  <si>
    <t>24-ult</t>
  </si>
  <si>
    <t>36-ult</t>
  </si>
  <si>
    <t>CDF</t>
  </si>
  <si>
    <t>=PRODUCT(Z131:Z133)</t>
  </si>
  <si>
    <t>AY 2014 paid claims</t>
  </si>
  <si>
    <t>AY 2014 Paid Claims</t>
  </si>
  <si>
    <t>=Z141*Z136</t>
  </si>
  <si>
    <t>--&gt; Another option is to just use the most recent year's factors (i.e. the latest diagonal)</t>
  </si>
  <si>
    <t>--&gt; simple average is good for stability</t>
  </si>
  <si>
    <t>Paid Claims Age-to-Age Factors</t>
  </si>
  <si>
    <t>Industry Data</t>
  </si>
  <si>
    <t>=PRODUCT(Z158:Z160)</t>
  </si>
  <si>
    <t>=Z168*Z163</t>
  </si>
  <si>
    <t>=AVERAGE(Z153:Z155)</t>
  </si>
  <si>
    <t>Claim</t>
  </si>
  <si>
    <t>Ground-up Loss</t>
  </si>
  <si>
    <t>Loss in 50 xs 100</t>
  </si>
  <si>
    <t>Layer</t>
  </si>
  <si>
    <t>Trended Ground-up Loss</t>
  </si>
  <si>
    <t>Inflation rate</t>
  </si>
  <si>
    <t xml:space="preserve">excess of </t>
  </si>
  <si>
    <t>=IF(C6&gt;$E$2,MIN(C6-$E$2,$C$2),0)</t>
  </si>
  <si>
    <t>=D17/D10-1</t>
  </si>
  <si>
    <t xml:space="preserve">50k excess of 100k trend= </t>
  </si>
  <si>
    <t>Annual Policy Period</t>
  </si>
  <si>
    <t>Countrywide Other Acquisition</t>
  </si>
  <si>
    <t>Statewide Taxes, Licenses, and Fees</t>
  </si>
  <si>
    <t>Statewide Commissions and Brokerage</t>
  </si>
  <si>
    <t>Countrywide General Expenses</t>
  </si>
  <si>
    <t>Statewide Earned Premium</t>
  </si>
  <si>
    <t>Statewide Written Premium</t>
  </si>
  <si>
    <t>Countrywide Earned Premium</t>
  </si>
  <si>
    <t>Countrywide Written Premium</t>
  </si>
  <si>
    <t>=E7/E$10</t>
  </si>
  <si>
    <t>Selection</t>
  </si>
  <si>
    <t>Method</t>
  </si>
  <si>
    <t>Justification</t>
  </si>
  <si>
    <t>-&gt; Use statewide EP for 'Statewide' expenses obviously</t>
  </si>
  <si>
    <t>All-year average</t>
  </si>
  <si>
    <t>Stable over the three years</t>
  </si>
  <si>
    <t>Average of latest two years</t>
  </si>
  <si>
    <t>Exclude 2021 because of unusually high expenses, then stable after that</t>
  </si>
  <si>
    <t>Latest year's ratio</t>
  </si>
  <si>
    <t>Expenses continually decrease</t>
  </si>
  <si>
    <t>=SUM(I15:I18)</t>
  </si>
  <si>
    <t>All-variable expense method</t>
  </si>
  <si>
    <t>Premium-based projection method</t>
  </si>
  <si>
    <t>&lt; same selections as above, just divvy out between fixed and variable expenses &gt;</t>
  </si>
  <si>
    <t>Expense Category</t>
  </si>
  <si>
    <t>% Fixed</t>
  </si>
  <si>
    <t>Other Acquisition</t>
  </si>
  <si>
    <t>Taxes, Licenses, and Fees</t>
  </si>
  <si>
    <t>Commissions and Brokerage</t>
  </si>
  <si>
    <t>General Expenses</t>
  </si>
  <si>
    <t>Fixed</t>
  </si>
  <si>
    <t>Variable</t>
  </si>
  <si>
    <t>=$I15*$C25</t>
  </si>
  <si>
    <t>=$I15*(1-$C25)</t>
  </si>
  <si>
    <t>=SUM(J25:J28)</t>
  </si>
  <si>
    <t>=SUM(I25:I28)</t>
  </si>
  <si>
    <t>Divide general expenses by EP because they are incurred throughout the policy period, but divide all other expenses by their respective WP because they are incurred at the onset of the policy period</t>
  </si>
  <si>
    <t>=E4/E$11</t>
  </si>
  <si>
    <t>=E5/E$9</t>
  </si>
  <si>
    <t>=E6/E$9</t>
  </si>
  <si>
    <t>Fixed General Expense as Percentage of General Expense</t>
  </si>
  <si>
    <t>Countrywide Earned Exposures</t>
  </si>
  <si>
    <t>Countrywide Written Exposures</t>
  </si>
  <si>
    <t>$475,00</t>
  </si>
  <si>
    <t>Projected Expense Provisions</t>
  </si>
  <si>
    <t>Fixed expenses - General</t>
  </si>
  <si>
    <t>General expense per exposure</t>
  </si>
  <si>
    <t>Fixed expense</t>
  </si>
  <si>
    <t>Trend period (years)</t>
  </si>
  <si>
    <t>Trended fixed expense per exposure</t>
  </si>
  <si>
    <t>Year</t>
  </si>
  <si>
    <t>Average</t>
  </si>
  <si>
    <t>=R35/R37</t>
  </si>
  <si>
    <t>=V35*R36</t>
  </si>
  <si>
    <t>=W35*(1+$R$47)^X35</t>
  </si>
  <si>
    <t>=Y37+SUM(R43:R45)</t>
  </si>
  <si>
    <t>=AVERAGE(Y35:Y36)</t>
  </si>
  <si>
    <t>Fixed expense trend</t>
  </si>
  <si>
    <t>Variable expenses - General</t>
  </si>
  <si>
    <t>Ratio</t>
  </si>
  <si>
    <t>Divide by EP because incurred throughout policy period</t>
  </si>
  <si>
    <t>=AVERAGE(V43:V44)</t>
  </si>
  <si>
    <t>=V45+SUM(S43:S45)</t>
  </si>
  <si>
    <t>Variable expense</t>
  </si>
  <si>
    <t>=R35*(1-R36)</t>
  </si>
  <si>
    <t>=V43/R39</t>
  </si>
  <si>
    <t>2020 Data</t>
  </si>
  <si>
    <t>Earned Premium</t>
  </si>
  <si>
    <t>Written Premium</t>
  </si>
  <si>
    <t>Written Exposures</t>
  </si>
  <si>
    <t>Fixed expense provision using the Exposure-Based Projection Method</t>
  </si>
  <si>
    <t>Expense per exposure</t>
  </si>
  <si>
    <t>WP</t>
  </si>
  <si>
    <t>Based on (divided by)</t>
  </si>
  <si>
    <t>EE</t>
  </si>
  <si>
    <t>WE</t>
  </si>
  <si>
    <t>* To average earned / written date for proposed rates</t>
  </si>
  <si>
    <t>Trended expense per exposure</t>
  </si>
  <si>
    <t>=SUM(AO51:AO54)</t>
  </si>
  <si>
    <t>Variable expense ratio</t>
  </si>
  <si>
    <t>=SUM(AM57:AM60)</t>
  </si>
  <si>
    <t>Trend period ^</t>
  </si>
  <si>
    <t>Variable Permissable Loss Ratio</t>
  </si>
  <si>
    <t>Target UW Profit</t>
  </si>
  <si>
    <t>=AL51*AH51</t>
  </si>
  <si>
    <t>=AG51*(1-AH51)</t>
  </si>
  <si>
    <t>=AL57/AG55</t>
  </si>
  <si>
    <t>=AL58/$AG$56</t>
  </si>
  <si>
    <t>=AM51*(1+$AG$60)^AN51</t>
  </si>
  <si>
    <t>=1-AM62-AG61</t>
  </si>
  <si>
    <t>Permissible loss ratio that would result from using the Premium-Based Projection Method</t>
  </si>
  <si>
    <t>=AL68/AG55</t>
  </si>
  <si>
    <t>'=AL58/$AG$56</t>
  </si>
  <si>
    <t>'=SUM(AM57:AM60)</t>
  </si>
  <si>
    <t>PLR</t>
  </si>
  <si>
    <t>=1-AM72-AM62-AG61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</si>
</sst>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8" formatCode="&quot;$&quot;#,##0.00_);[Red]\(&quot;$&quot;#,##0.00\)"/>
    <numFmt numFmtId="43" formatCode="_(* #,##0.00_);_(* \(#,##0.00\);_(* &quot;-&quot;??_);_(@_)"/>
    <numFmt numFmtId="164" formatCode="_(* #,##0_);_(* \(#,##0\);_(* &quot;-&quot;??_);_(@_)"/>
    <numFmt numFmtId="165" formatCode="#,##0.000"/>
    <numFmt numFmtId="166" formatCode="0.000"/>
    <numFmt numFmtId="167" formatCode="0.0"/>
    <numFmt numFmtId="172" formatCode="0.0%"/>
  </numFmts>
  <fonts count="16" x14ac:knownFonts="1">
    <font>
      <sz val="12"/>
      <color theme="1"/>
      <name val="Aptos Narrow"/>
      <family val="2"/>
      <scheme val="minor"/>
    </font>
    <font>
      <sz val="12"/>
      <color theme="1"/>
      <name val="Aptos Narrow"/>
      <family val="2"/>
      <scheme val="minor"/>
    </font>
    <font>
      <b/>
      <sz val="12"/>
      <color theme="1"/>
      <name val="Aptos Narrow"/>
      <scheme val="minor"/>
    </font>
    <font>
      <b/>
      <sz val="12"/>
      <color rgb="FF293243"/>
      <name val="Arial"/>
      <family val="2"/>
    </font>
    <font>
      <sz val="12"/>
      <color rgb="FF293243"/>
      <name val="Arial"/>
      <family val="2"/>
    </font>
    <font>
      <sz val="12"/>
      <color theme="1"/>
      <name val="Aptos Narrow"/>
      <scheme val="minor"/>
    </font>
    <font>
      <sz val="8"/>
      <name val="Aptos Narrow"/>
      <family val="2"/>
      <scheme val="minor"/>
    </font>
    <font>
      <sz val="12"/>
      <color rgb="FF0070C0"/>
      <name val="Aptos Narrow"/>
      <family val="2"/>
      <scheme val="minor"/>
    </font>
    <font>
      <sz val="12"/>
      <color theme="5"/>
      <name val="Aptos Narrow"/>
      <family val="2"/>
      <scheme val="minor"/>
    </font>
    <font>
      <sz val="12"/>
      <color theme="5"/>
      <name val="Aptos Narrow (Body)"/>
    </font>
    <font>
      <sz val="12"/>
      <color rgb="FF0070C0"/>
      <name val="Arial"/>
      <family val="2"/>
    </font>
    <font>
      <sz val="12"/>
      <color rgb="FFFFC000"/>
      <name val="Aptos Narrow"/>
      <family val="2"/>
      <scheme val="minor"/>
    </font>
    <font>
      <b/>
      <sz val="12"/>
      <color rgb="FF202834"/>
      <name val="Arial"/>
      <family val="2"/>
    </font>
    <font>
      <sz val="12"/>
      <color rgb="FF202834"/>
      <name val="Arial"/>
      <family val="2"/>
    </font>
    <font>
      <sz val="12"/>
      <name val="Arial"/>
      <family val="2"/>
    </font>
    <font>
      <sz val="12"/>
      <color rgb="FFFFC000"/>
      <name val="Arial"/>
      <family val="2"/>
    </font>
  </fonts>
  <fills count="3">
    <fill>
      <patternFill patternType="none"/>
    </fill>
    <fill>
      <patternFill patternType="gray125"/>
    </fill>
    <fill>
      <patternFill patternType="solid">
        <fgColor rgb="FFFFFF00"/>
        <bgColor indexed="64"/>
      </patternFill>
    </fill>
  </fills>
  <borders count="10">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double">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9">
    <xf numFmtId="0" fontId="0" fillId="0" borderId="0" xfId="0"/>
    <xf numFmtId="0" fontId="0" fillId="0" borderId="1" xfId="0" applyBorder="1"/>
    <xf numFmtId="3" fontId="0" fillId="0" borderId="2" xfId="0" applyNumberFormat="1" applyBorder="1"/>
    <xf numFmtId="0" fontId="0" fillId="0" borderId="0" xfId="0" quotePrefix="1"/>
    <xf numFmtId="0" fontId="2" fillId="0" borderId="1" xfId="0" applyFont="1" applyBorder="1"/>
    <xf numFmtId="0" fontId="2" fillId="0" borderId="3" xfId="0" applyFont="1" applyBorder="1"/>
    <xf numFmtId="3" fontId="0" fillId="0" borderId="3" xfId="0" applyNumberFormat="1" applyBorder="1"/>
    <xf numFmtId="164" fontId="0" fillId="0" borderId="0" xfId="1" applyNumberFormat="1" applyFont="1"/>
    <xf numFmtId="164" fontId="0" fillId="0" borderId="1" xfId="1" applyNumberFormat="1" applyFont="1" applyBorder="1"/>
    <xf numFmtId="164" fontId="0" fillId="0" borderId="0" xfId="0" applyNumberFormat="1"/>
    <xf numFmtId="10" fontId="0" fillId="0" borderId="0" xfId="2" applyNumberFormat="1" applyFont="1"/>
    <xf numFmtId="0" fontId="3" fillId="0" borderId="0" xfId="0" applyFont="1"/>
    <xf numFmtId="0" fontId="4" fillId="0" borderId="0" xfId="0" applyFont="1"/>
    <xf numFmtId="14" fontId="4" fillId="0" borderId="0" xfId="0" applyNumberFormat="1" applyFont="1"/>
    <xf numFmtId="0" fontId="3" fillId="0" borderId="0" xfId="0" applyFont="1" applyAlignment="1">
      <alignment wrapText="1"/>
    </xf>
    <xf numFmtId="0" fontId="2" fillId="0" borderId="0" xfId="0" applyFont="1"/>
    <xf numFmtId="0" fontId="5" fillId="0" borderId="0" xfId="0" applyFont="1"/>
    <xf numFmtId="2" fontId="0" fillId="0" borderId="0" xfId="0" applyNumberFormat="1"/>
    <xf numFmtId="14" fontId="0" fillId="0" borderId="0" xfId="0" applyNumberFormat="1"/>
    <xf numFmtId="9" fontId="0" fillId="0" borderId="0" xfId="2" applyFont="1"/>
    <xf numFmtId="9" fontId="0" fillId="0" borderId="0" xfId="2" quotePrefix="1" applyFont="1"/>
    <xf numFmtId="2" fontId="7" fillId="0" borderId="0" xfId="0" applyNumberFormat="1" applyFont="1"/>
    <xf numFmtId="0" fontId="7" fillId="0" borderId="0" xfId="0" applyFont="1"/>
    <xf numFmtId="0" fontId="0" fillId="0" borderId="0" xfId="0" applyAlignment="1">
      <alignment vertical="center"/>
    </xf>
    <xf numFmtId="0" fontId="2" fillId="0" borderId="4" xfId="0" applyFont="1" applyBorder="1"/>
    <xf numFmtId="0" fontId="2" fillId="0" borderId="2" xfId="0" applyFont="1" applyBorder="1"/>
    <xf numFmtId="0" fontId="0" fillId="0" borderId="4" xfId="0" applyBorder="1"/>
    <xf numFmtId="0" fontId="7" fillId="0" borderId="2" xfId="0" applyFont="1" applyBorder="1"/>
    <xf numFmtId="0" fontId="0" fillId="0" borderId="5" xfId="0" applyBorder="1"/>
    <xf numFmtId="0" fontId="7" fillId="0" borderId="3" xfId="0" applyFont="1" applyBorder="1"/>
    <xf numFmtId="0" fontId="0" fillId="0" borderId="2" xfId="0" applyBorder="1"/>
    <xf numFmtId="0" fontId="0" fillId="0" borderId="3" xfId="0" applyBorder="1"/>
    <xf numFmtId="0" fontId="8" fillId="0" borderId="0" xfId="0" quotePrefix="1" applyFont="1"/>
    <xf numFmtId="3" fontId="4" fillId="0" borderId="0" xfId="0" applyNumberFormat="1" applyFont="1"/>
    <xf numFmtId="165" fontId="10" fillId="0" borderId="0" xfId="0" applyNumberFormat="1" applyFont="1"/>
    <xf numFmtId="0" fontId="10" fillId="0" borderId="0" xfId="0" applyFont="1"/>
    <xf numFmtId="0" fontId="11" fillId="0" borderId="0" xfId="0" quotePrefix="1" applyFont="1"/>
    <xf numFmtId="4" fontId="10" fillId="0" borderId="0" xfId="0" applyNumberFormat="1" applyFont="1"/>
    <xf numFmtId="4" fontId="7" fillId="0" borderId="0" xfId="0" applyNumberFormat="1" applyFont="1"/>
    <xf numFmtId="16" fontId="3" fillId="0" borderId="0" xfId="0" quotePrefix="1" applyNumberFormat="1" applyFont="1"/>
    <xf numFmtId="0" fontId="3" fillId="0" borderId="0" xfId="0" quotePrefix="1" applyFont="1"/>
    <xf numFmtId="166" fontId="10" fillId="0" borderId="0" xfId="0" applyNumberFormat="1" applyFont="1"/>
    <xf numFmtId="166" fontId="0" fillId="0" borderId="0" xfId="0" applyNumberFormat="1"/>
    <xf numFmtId="166" fontId="7" fillId="0" borderId="0" xfId="0" applyNumberFormat="1" applyFont="1"/>
    <xf numFmtId="0" fontId="2" fillId="0" borderId="0" xfId="0" applyFont="1" applyAlignment="1">
      <alignment wrapText="1"/>
    </xf>
    <xf numFmtId="167" fontId="7" fillId="0" borderId="0" xfId="0" applyNumberFormat="1" applyFont="1"/>
    <xf numFmtId="0" fontId="4" fillId="0" borderId="1" xfId="0" applyFont="1" applyBorder="1"/>
    <xf numFmtId="167" fontId="7" fillId="0" borderId="1" xfId="0" applyNumberFormat="1" applyFont="1" applyBorder="1"/>
    <xf numFmtId="0" fontId="4" fillId="2" borderId="0" xfId="0" applyFont="1" applyFill="1"/>
    <xf numFmtId="0" fontId="0" fillId="2" borderId="0" xfId="0" applyFill="1"/>
    <xf numFmtId="167" fontId="7" fillId="2" borderId="0" xfId="0" applyNumberFormat="1" applyFont="1" applyFill="1"/>
    <xf numFmtId="0" fontId="11" fillId="2" borderId="0" xfId="0" quotePrefix="1" applyFont="1" applyFill="1"/>
    <xf numFmtId="6" fontId="4" fillId="0" borderId="0" xfId="0" applyNumberFormat="1" applyFont="1"/>
    <xf numFmtId="6" fontId="7" fillId="0" borderId="0" xfId="0" applyNumberFormat="1" applyFont="1"/>
    <xf numFmtId="16" fontId="0" fillId="0" borderId="0" xfId="0" quotePrefix="1" applyNumberFormat="1"/>
    <xf numFmtId="2" fontId="4" fillId="0" borderId="0" xfId="0" applyNumberFormat="1" applyFont="1"/>
    <xf numFmtId="0" fontId="0" fillId="0" borderId="0" xfId="0" applyAlignment="1">
      <alignment horizontal="right"/>
    </xf>
    <xf numFmtId="8" fontId="11" fillId="0" borderId="0" xfId="0" quotePrefix="1" applyNumberFormat="1" applyFont="1"/>
    <xf numFmtId="8" fontId="7" fillId="2" borderId="0" xfId="0" applyNumberFormat="1" applyFont="1" applyFill="1"/>
    <xf numFmtId="2" fontId="10" fillId="0" borderId="0" xfId="0" applyNumberFormat="1" applyFont="1"/>
    <xf numFmtId="1" fontId="7" fillId="0" borderId="0" xfId="0" applyNumberFormat="1" applyFont="1"/>
    <xf numFmtId="2" fontId="7" fillId="2" borderId="0" xfId="0" applyNumberFormat="1" applyFont="1" applyFill="1"/>
    <xf numFmtId="0" fontId="4" fillId="0" borderId="0" xfId="0" quotePrefix="1" applyFont="1"/>
    <xf numFmtId="6" fontId="0" fillId="0" borderId="0" xfId="0" applyNumberFormat="1"/>
    <xf numFmtId="6" fontId="4" fillId="0" borderId="1" xfId="0" applyNumberFormat="1" applyFont="1" applyBorder="1"/>
    <xf numFmtId="0" fontId="0" fillId="0" borderId="0" xfId="0" applyAlignment="1">
      <alignment horizontal="right" wrapText="1"/>
    </xf>
    <xf numFmtId="9" fontId="7" fillId="2" borderId="0" xfId="2" applyFont="1" applyFill="1"/>
    <xf numFmtId="6" fontId="7" fillId="0" borderId="1" xfId="0" applyNumberFormat="1" applyFont="1" applyBorder="1"/>
    <xf numFmtId="6" fontId="10" fillId="0" borderId="0" xfId="0" applyNumberFormat="1" applyFont="1"/>
    <xf numFmtId="6" fontId="10" fillId="0" borderId="1" xfId="0" applyNumberFormat="1" applyFont="1" applyBorder="1"/>
    <xf numFmtId="0" fontId="2" fillId="0" borderId="6" xfId="0" applyFont="1" applyBorder="1" applyAlignment="1">
      <alignment horizontal="center"/>
    </xf>
    <xf numFmtId="0" fontId="2" fillId="0" borderId="8" xfId="0" applyFont="1" applyBorder="1" applyAlignment="1">
      <alignment horizontal="center"/>
    </xf>
    <xf numFmtId="0" fontId="2" fillId="0" borderId="7" xfId="0" applyFont="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0" xfId="0" applyFont="1" applyAlignment="1">
      <alignment horizontal="center" vertical="center"/>
    </xf>
    <xf numFmtId="0" fontId="7" fillId="0" borderId="1" xfId="0" applyFont="1" applyBorder="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0" fillId="0" borderId="0" xfId="0" applyAlignment="1">
      <alignment horizontal="center" vertical="center"/>
    </xf>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center" wrapText="1"/>
    </xf>
    <xf numFmtId="0" fontId="3" fillId="0" borderId="0" xfId="0" applyFont="1" applyAlignment="1">
      <alignment horizontal="center" wrapText="1"/>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xf>
    <xf numFmtId="0" fontId="12" fillId="0" borderId="0" xfId="0" applyFont="1"/>
    <xf numFmtId="0" fontId="13" fillId="0" borderId="0" xfId="0" applyFont="1"/>
    <xf numFmtId="6" fontId="13" fillId="0" borderId="0" xfId="0" applyNumberFormat="1" applyFont="1"/>
    <xf numFmtId="0" fontId="12" fillId="0" borderId="0" xfId="0" applyFont="1" applyAlignment="1">
      <alignment horizontal="center"/>
    </xf>
    <xf numFmtId="10" fontId="10" fillId="0" borderId="0" xfId="2" applyNumberFormat="1" applyFont="1"/>
    <xf numFmtId="6" fontId="12" fillId="0" borderId="0" xfId="0" applyNumberFormat="1" applyFont="1"/>
    <xf numFmtId="10" fontId="14" fillId="0" borderId="0" xfId="2" applyNumberFormat="1" applyFont="1"/>
    <xf numFmtId="0" fontId="13" fillId="0" borderId="9" xfId="0" applyFont="1" applyBorder="1"/>
    <xf numFmtId="10" fontId="10" fillId="0" borderId="9" xfId="2" applyNumberFormat="1" applyFont="1" applyBorder="1"/>
    <xf numFmtId="10" fontId="14" fillId="0" borderId="9" xfId="2" applyNumberFormat="1" applyFont="1" applyBorder="1"/>
    <xf numFmtId="10" fontId="7" fillId="2" borderId="0" xfId="0" applyNumberFormat="1" applyFont="1" applyFill="1"/>
    <xf numFmtId="10" fontId="15" fillId="0" borderId="0" xfId="2" quotePrefix="1" applyNumberFormat="1" applyFont="1" applyFill="1" applyBorder="1"/>
    <xf numFmtId="9" fontId="13" fillId="0" borderId="0" xfId="0" applyNumberFormat="1" applyFont="1"/>
    <xf numFmtId="10" fontId="7" fillId="0" borderId="0" xfId="0" applyNumberFormat="1" applyFont="1"/>
    <xf numFmtId="10" fontId="7" fillId="0" borderId="9" xfId="0" applyNumberFormat="1" applyFont="1" applyBorder="1"/>
    <xf numFmtId="0" fontId="0" fillId="0" borderId="9" xfId="0" applyBorder="1"/>
    <xf numFmtId="10" fontId="11" fillId="0" borderId="0" xfId="0" quotePrefix="1" applyNumberFormat="1" applyFont="1"/>
    <xf numFmtId="0" fontId="0" fillId="0" borderId="0" xfId="0" applyAlignment="1">
      <alignment horizontal="left" vertical="center" wrapText="1"/>
    </xf>
    <xf numFmtId="10" fontId="13" fillId="0" borderId="0" xfId="0" applyNumberFormat="1" applyFont="1"/>
    <xf numFmtId="8" fontId="0" fillId="0" borderId="0" xfId="0" applyNumberFormat="1"/>
    <xf numFmtId="8" fontId="13" fillId="0" borderId="0" xfId="0" applyNumberFormat="1" applyFont="1"/>
    <xf numFmtId="8" fontId="0" fillId="0" borderId="9" xfId="0" applyNumberFormat="1" applyBorder="1"/>
    <xf numFmtId="8" fontId="7" fillId="0" borderId="9" xfId="0" applyNumberFormat="1" applyFont="1" applyBorder="1"/>
    <xf numFmtId="0" fontId="7" fillId="0" borderId="9" xfId="0" applyFont="1" applyBorder="1"/>
    <xf numFmtId="8" fontId="7" fillId="0" borderId="0" xfId="0" applyNumberFormat="1" applyFont="1"/>
    <xf numFmtId="0" fontId="11" fillId="0" borderId="0" xfId="0" applyFont="1"/>
    <xf numFmtId="8" fontId="7" fillId="0" borderId="0" xfId="0" applyNumberFormat="1" applyFont="1" applyFill="1"/>
    <xf numFmtId="172" fontId="7" fillId="0" borderId="0" xfId="2" applyNumberFormat="1" applyFont="1"/>
    <xf numFmtId="172" fontId="7" fillId="0" borderId="0" xfId="0" applyNumberFormat="1" applyFont="1"/>
    <xf numFmtId="172" fontId="7" fillId="0" borderId="9" xfId="2" applyNumberFormat="1" applyFont="1" applyBorder="1"/>
    <xf numFmtId="172" fontId="7" fillId="2" borderId="0" xfId="0" applyNumberFormat="1" applyFont="1" applyFill="1"/>
    <xf numFmtId="6" fontId="0" fillId="0" borderId="9" xfId="0" applyNumberFormat="1" applyBorder="1"/>
    <xf numFmtId="0" fontId="11" fillId="0" borderId="9" xfId="0" quotePrefix="1" applyFont="1" applyBorder="1"/>
    <xf numFmtId="3" fontId="13" fillId="0" borderId="0" xfId="0" applyNumberFormat="1" applyFont="1"/>
    <xf numFmtId="0" fontId="12" fillId="0" borderId="0" xfId="0" applyFont="1" applyFill="1" applyBorder="1"/>
    <xf numFmtId="8" fontId="2" fillId="0" borderId="0" xfId="0" applyNumberFormat="1" applyFont="1" applyFill="1" applyBorder="1"/>
    <xf numFmtId="10" fontId="7" fillId="0" borderId="0" xfId="2" applyNumberFormat="1" applyFont="1"/>
    <xf numFmtId="6" fontId="7" fillId="0" borderId="9" xfId="0" applyNumberFormat="1" applyFont="1" applyBorder="1"/>
    <xf numFmtId="10" fontId="7" fillId="0" borderId="9" xfId="2" applyNumberFormat="1" applyFont="1" applyBorder="1"/>
    <xf numFmtId="10" fontId="7" fillId="0" borderId="0" xfId="2" applyNumberFormat="1" applyFont="1" applyFill="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289D1-CA2B-AF4C-9440-38794FB6AFB7}">
  <dimension ref="D6:K35"/>
  <sheetViews>
    <sheetView workbookViewId="0">
      <selection activeCell="L27" sqref="L27"/>
    </sheetView>
  </sheetViews>
  <sheetFormatPr baseColWidth="10" defaultRowHeight="16" x14ac:dyDescent="0.2"/>
  <cols>
    <col min="4" max="4" width="23.1640625" bestFit="1" customWidth="1"/>
    <col min="7" max="7" width="13.1640625" bestFit="1" customWidth="1"/>
    <col min="8" max="8" width="11" bestFit="1" customWidth="1"/>
    <col min="9" max="9" width="17.1640625" bestFit="1" customWidth="1"/>
    <col min="10" max="10" width="31" bestFit="1" customWidth="1"/>
    <col min="11" max="11" width="27.33203125" bestFit="1" customWidth="1"/>
    <col min="13" max="13" width="9.83203125" customWidth="1"/>
    <col min="14" max="14" width="12" customWidth="1"/>
    <col min="15" max="15" width="9.33203125" customWidth="1"/>
    <col min="16" max="16" width="12.33203125" customWidth="1"/>
    <col min="17" max="17" width="15.33203125" customWidth="1"/>
  </cols>
  <sheetData>
    <row r="6" spans="4:11" x14ac:dyDescent="0.2">
      <c r="H6" t="s">
        <v>11</v>
      </c>
      <c r="I6" t="s">
        <v>12</v>
      </c>
      <c r="J6" t="s">
        <v>29</v>
      </c>
      <c r="K6" t="s">
        <v>30</v>
      </c>
    </row>
    <row r="7" spans="4:11" x14ac:dyDescent="0.2">
      <c r="D7" s="1" t="s">
        <v>17</v>
      </c>
      <c r="E7" s="1"/>
      <c r="G7" s="4" t="s">
        <v>0</v>
      </c>
      <c r="H7" s="4" t="s">
        <v>1</v>
      </c>
      <c r="I7" s="5" t="s">
        <v>2</v>
      </c>
      <c r="J7" s="4" t="s">
        <v>20</v>
      </c>
      <c r="K7" s="4" t="s">
        <v>31</v>
      </c>
    </row>
    <row r="8" spans="4:11" x14ac:dyDescent="0.2">
      <c r="D8" t="s">
        <v>14</v>
      </c>
      <c r="E8">
        <v>0.6</v>
      </c>
      <c r="G8" t="s">
        <v>3</v>
      </c>
      <c r="H8">
        <v>24</v>
      </c>
      <c r="I8" s="2">
        <v>12432</v>
      </c>
      <c r="J8" s="7">
        <f>$H$18*H8</f>
        <v>12960</v>
      </c>
      <c r="K8" s="7">
        <f>$H$18*H8</f>
        <v>12960</v>
      </c>
    </row>
    <row r="9" spans="4:11" x14ac:dyDescent="0.2">
      <c r="D9" t="s">
        <v>13</v>
      </c>
      <c r="E9">
        <v>1200</v>
      </c>
      <c r="G9" t="s">
        <v>4</v>
      </c>
      <c r="H9">
        <v>19</v>
      </c>
      <c r="I9" s="2">
        <v>12426</v>
      </c>
      <c r="J9" s="7">
        <f>$H$18*H9</f>
        <v>10260</v>
      </c>
      <c r="K9" s="7">
        <f>$H$18*H9</f>
        <v>10260</v>
      </c>
    </row>
    <row r="10" spans="4:11" x14ac:dyDescent="0.2">
      <c r="D10" t="s">
        <v>15</v>
      </c>
      <c r="E10">
        <v>0.45</v>
      </c>
      <c r="G10" t="s">
        <v>5</v>
      </c>
      <c r="H10">
        <v>33</v>
      </c>
      <c r="I10" s="2">
        <v>26664</v>
      </c>
      <c r="J10" s="7">
        <f>$H$18*H10</f>
        <v>17820</v>
      </c>
      <c r="K10" s="7">
        <f>$E$14*I10</f>
        <v>19998</v>
      </c>
    </row>
    <row r="11" spans="4:11" x14ac:dyDescent="0.2">
      <c r="D11" t="s">
        <v>16</v>
      </c>
      <c r="E11">
        <v>0.9</v>
      </c>
      <c r="G11" t="s">
        <v>6</v>
      </c>
      <c r="H11">
        <v>81</v>
      </c>
      <c r="I11" s="2">
        <v>88840</v>
      </c>
      <c r="J11" s="7">
        <f>$E$8*I11</f>
        <v>53304</v>
      </c>
      <c r="K11" s="7">
        <f t="shared" ref="K11:K13" si="0">$E$14*I11</f>
        <v>66630</v>
      </c>
    </row>
    <row r="12" spans="4:11" x14ac:dyDescent="0.2">
      <c r="G12" t="s">
        <v>7</v>
      </c>
      <c r="H12">
        <v>68</v>
      </c>
      <c r="I12" s="2">
        <v>88060</v>
      </c>
      <c r="J12" s="7">
        <f t="shared" ref="J12" si="1">$E$8*I12</f>
        <v>52836</v>
      </c>
      <c r="K12" s="7">
        <f t="shared" si="0"/>
        <v>66045</v>
      </c>
    </row>
    <row r="13" spans="4:11" x14ac:dyDescent="0.2">
      <c r="D13" s="1" t="s">
        <v>18</v>
      </c>
      <c r="E13" s="1"/>
      <c r="G13" t="s">
        <v>8</v>
      </c>
      <c r="H13">
        <v>49</v>
      </c>
      <c r="I13" s="2">
        <v>81242</v>
      </c>
      <c r="J13" s="7">
        <f>$E$8*I13</f>
        <v>48745.2</v>
      </c>
      <c r="K13" s="7">
        <f t="shared" si="0"/>
        <v>60931.5</v>
      </c>
    </row>
    <row r="14" spans="4:11" x14ac:dyDescent="0.2">
      <c r="D14" t="s">
        <v>14</v>
      </c>
      <c r="E14">
        <v>0.75</v>
      </c>
      <c r="G14" s="1" t="s">
        <v>9</v>
      </c>
      <c r="H14" s="1">
        <v>26</v>
      </c>
      <c r="I14" s="6">
        <v>50336</v>
      </c>
      <c r="J14" s="8">
        <f>H19*H14</f>
        <v>28080</v>
      </c>
      <c r="K14" s="8">
        <f>$E$14*I14</f>
        <v>37752</v>
      </c>
    </row>
    <row r="15" spans="4:11" x14ac:dyDescent="0.2">
      <c r="D15" t="s">
        <v>16</v>
      </c>
      <c r="E15" t="s">
        <v>19</v>
      </c>
      <c r="G15" t="s">
        <v>10</v>
      </c>
      <c r="H15">
        <v>300</v>
      </c>
      <c r="I15" s="2">
        <v>360000</v>
      </c>
      <c r="J15" s="9">
        <f>SUM(J8:J14)</f>
        <v>224005.2</v>
      </c>
      <c r="K15" s="9">
        <f>SUM(K8:K14)</f>
        <v>274576.5</v>
      </c>
    </row>
    <row r="17" spans="4:11" x14ac:dyDescent="0.2">
      <c r="D17" s="1" t="s">
        <v>22</v>
      </c>
      <c r="E17" s="1"/>
    </row>
    <row r="18" spans="4:11" x14ac:dyDescent="0.2">
      <c r="D18" t="s">
        <v>21</v>
      </c>
      <c r="E18">
        <f>0.45/0.6</f>
        <v>0.75</v>
      </c>
      <c r="F18" s="3" t="s">
        <v>25</v>
      </c>
      <c r="G18" s="3" t="s">
        <v>27</v>
      </c>
      <c r="H18">
        <f>0.45*1200</f>
        <v>540</v>
      </c>
      <c r="J18" t="s">
        <v>32</v>
      </c>
      <c r="K18" s="10">
        <f>K15/J15-1</f>
        <v>0.22575949129752337</v>
      </c>
    </row>
    <row r="19" spans="4:11" x14ac:dyDescent="0.2">
      <c r="D19" t="s">
        <v>23</v>
      </c>
      <c r="E19">
        <f>0.9/0.6</f>
        <v>1.5</v>
      </c>
      <c r="F19" s="3" t="s">
        <v>26</v>
      </c>
      <c r="G19" s="3" t="s">
        <v>28</v>
      </c>
      <c r="H19">
        <f>0.9*1200</f>
        <v>1080</v>
      </c>
      <c r="J19" s="3" t="s">
        <v>33</v>
      </c>
    </row>
    <row r="21" spans="4:11" x14ac:dyDescent="0.2">
      <c r="D21" s="1" t="s">
        <v>24</v>
      </c>
      <c r="E21" s="1"/>
    </row>
    <row r="22" spans="4:11" x14ac:dyDescent="0.2">
      <c r="D22" t="s">
        <v>23</v>
      </c>
      <c r="E22" t="s">
        <v>19</v>
      </c>
      <c r="F22" s="3"/>
      <c r="G22" s="3"/>
    </row>
    <row r="28" spans="4:11" x14ac:dyDescent="0.2">
      <c r="D28" s="12"/>
      <c r="E28" s="12"/>
      <c r="F28" s="12"/>
      <c r="G28" s="12"/>
      <c r="H28" s="12"/>
      <c r="I28" s="12"/>
      <c r="J28" s="12"/>
    </row>
    <row r="29" spans="4:11" x14ac:dyDescent="0.2">
      <c r="D29" s="13"/>
      <c r="E29" s="12"/>
      <c r="F29" s="12"/>
      <c r="G29" s="12"/>
      <c r="H29" s="12"/>
      <c r="I29" s="12"/>
      <c r="J29" s="12"/>
    </row>
    <row r="30" spans="4:11" x14ac:dyDescent="0.2">
      <c r="D30" s="13"/>
      <c r="E30" s="12"/>
      <c r="F30" s="12"/>
      <c r="G30" s="12"/>
      <c r="H30" s="12"/>
      <c r="I30" s="12"/>
      <c r="J30" s="12"/>
    </row>
    <row r="31" spans="4:11" x14ac:dyDescent="0.2">
      <c r="D31" s="13"/>
      <c r="E31" s="12"/>
      <c r="F31" s="12"/>
      <c r="G31" s="12"/>
      <c r="H31" s="12"/>
      <c r="I31" s="12"/>
      <c r="J31" s="12"/>
    </row>
    <row r="32" spans="4:11" x14ac:dyDescent="0.2">
      <c r="D32" s="12"/>
      <c r="E32" s="12"/>
      <c r="F32" s="12"/>
      <c r="G32" s="12"/>
      <c r="H32" s="12"/>
      <c r="I32" s="12"/>
      <c r="J32" s="12"/>
    </row>
    <row r="33" spans="4:10" x14ac:dyDescent="0.2">
      <c r="D33" s="13"/>
      <c r="E33" s="12"/>
      <c r="F33" s="12"/>
      <c r="G33" s="12"/>
      <c r="H33" s="12"/>
      <c r="I33" s="12"/>
      <c r="J33" s="12"/>
    </row>
    <row r="34" spans="4:10" ht="16" customHeight="1" x14ac:dyDescent="0.2">
      <c r="D34" s="13"/>
      <c r="E34" s="12"/>
      <c r="F34" s="12"/>
      <c r="G34" s="12"/>
      <c r="H34" s="12"/>
      <c r="I34" s="12"/>
      <c r="J34" s="12"/>
    </row>
    <row r="35" spans="4:10" x14ac:dyDescent="0.2">
      <c r="D35" s="13"/>
      <c r="E35" s="12"/>
      <c r="F35" s="12"/>
      <c r="G35" s="12"/>
      <c r="H35" s="12"/>
      <c r="I35" s="12"/>
      <c r="J35"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6021E-A4E6-FC4B-9E7D-448791DEE1BE}">
  <dimension ref="B2:AZ63"/>
  <sheetViews>
    <sheetView topLeftCell="L17" workbookViewId="0">
      <selection activeCell="AQ41" sqref="AQ41"/>
    </sheetView>
  </sheetViews>
  <sheetFormatPr baseColWidth="10" defaultRowHeight="16" x14ac:dyDescent="0.2"/>
  <cols>
    <col min="13" max="13" width="12.33203125" bestFit="1" customWidth="1"/>
    <col min="14" max="14" width="24.1640625" bestFit="1" customWidth="1"/>
    <col min="15" max="18" width="14" bestFit="1" customWidth="1"/>
    <col min="31" max="31" width="14.83203125" bestFit="1" customWidth="1"/>
    <col min="32" max="32" width="23.33203125" bestFit="1" customWidth="1"/>
    <col min="45" max="45" width="13.83203125" bestFit="1" customWidth="1"/>
    <col min="46" max="46" width="23.5" bestFit="1" customWidth="1"/>
  </cols>
  <sheetData>
    <row r="2" spans="2:9" x14ac:dyDescent="0.2">
      <c r="B2" t="s">
        <v>40</v>
      </c>
    </row>
    <row r="3" spans="2:9" x14ac:dyDescent="0.2">
      <c r="B3" s="16" t="s">
        <v>44</v>
      </c>
      <c r="C3" s="16" t="s">
        <v>45</v>
      </c>
      <c r="D3" t="s">
        <v>46</v>
      </c>
    </row>
    <row r="4" spans="2:9" x14ac:dyDescent="0.2">
      <c r="B4" t="s">
        <v>41</v>
      </c>
      <c r="D4">
        <v>540</v>
      </c>
    </row>
    <row r="5" spans="2:9" x14ac:dyDescent="0.2">
      <c r="B5" t="s">
        <v>36</v>
      </c>
      <c r="C5" t="s">
        <v>11</v>
      </c>
      <c r="D5">
        <v>1</v>
      </c>
    </row>
    <row r="6" spans="2:9" x14ac:dyDescent="0.2">
      <c r="B6" t="s">
        <v>36</v>
      </c>
      <c r="C6" t="s">
        <v>12</v>
      </c>
      <c r="D6">
        <v>1.3</v>
      </c>
    </row>
    <row r="7" spans="2:9" x14ac:dyDescent="0.2">
      <c r="B7" t="s">
        <v>37</v>
      </c>
      <c r="C7" t="s">
        <v>38</v>
      </c>
      <c r="D7">
        <v>1</v>
      </c>
    </row>
    <row r="8" spans="2:9" x14ac:dyDescent="0.2">
      <c r="B8" t="s">
        <v>37</v>
      </c>
      <c r="C8" t="s">
        <v>39</v>
      </c>
      <c r="D8">
        <v>0.9</v>
      </c>
    </row>
    <row r="9" spans="2:9" x14ac:dyDescent="0.2">
      <c r="B9" t="s">
        <v>35</v>
      </c>
      <c r="D9">
        <v>35</v>
      </c>
    </row>
    <row r="11" spans="2:9" x14ac:dyDescent="0.2">
      <c r="F11" s="11"/>
    </row>
    <row r="12" spans="2:9" ht="68" x14ac:dyDescent="0.2">
      <c r="B12" s="14" t="s">
        <v>42</v>
      </c>
      <c r="C12" s="14" t="s">
        <v>34</v>
      </c>
      <c r="D12" s="14" t="s">
        <v>36</v>
      </c>
      <c r="E12" s="14" t="s">
        <v>37</v>
      </c>
      <c r="F12" s="14" t="s">
        <v>43</v>
      </c>
      <c r="G12" s="14" t="s">
        <v>47</v>
      </c>
      <c r="H12" s="14" t="s">
        <v>48</v>
      </c>
      <c r="I12" s="14" t="s">
        <v>49</v>
      </c>
    </row>
    <row r="13" spans="2:9" x14ac:dyDescent="0.2">
      <c r="B13" s="12">
        <v>1</v>
      </c>
      <c r="C13" s="13">
        <v>44593</v>
      </c>
      <c r="D13" s="12" t="s">
        <v>11</v>
      </c>
      <c r="E13" s="12" t="s">
        <v>38</v>
      </c>
      <c r="F13" s="12">
        <v>1</v>
      </c>
      <c r="G13">
        <f t="shared" ref="G13:G18" si="0">SUMIFS($D$4:$D$9,$B$4:$B$9,"Base rate",$C$4:$C$9,"")*SUMIFS($D$4:$D$9,$B$4:$B$9,"Class factor",$C$4:$C$9,D13)*SUMIFS($D$4:$D$9,$B$4:$B$9,"Territory factor",$C$4:$C$9,E13)+SUMIFS($D$4:$D$9,$B$4:$B$9,"Policy fee",$C$4:$C$9,"")</f>
        <v>575</v>
      </c>
      <c r="H13" s="17">
        <f>1/12</f>
        <v>8.3333333333333329E-2</v>
      </c>
      <c r="I13" s="17">
        <f t="shared" ref="I13:I18" si="1">F13*G13*H13</f>
        <v>47.916666666666664</v>
      </c>
    </row>
    <row r="14" spans="2:9" x14ac:dyDescent="0.2">
      <c r="B14" s="12">
        <v>2</v>
      </c>
      <c r="C14" s="13">
        <v>44666</v>
      </c>
      <c r="D14" s="12" t="s">
        <v>11</v>
      </c>
      <c r="E14" s="12" t="s">
        <v>39</v>
      </c>
      <c r="F14" s="12">
        <v>2</v>
      </c>
      <c r="G14">
        <f t="shared" si="0"/>
        <v>521</v>
      </c>
      <c r="H14" s="17">
        <f>7/24</f>
        <v>0.29166666666666669</v>
      </c>
      <c r="I14" s="17">
        <f t="shared" si="1"/>
        <v>303.91666666666669</v>
      </c>
    </row>
    <row r="15" spans="2:9" x14ac:dyDescent="0.2">
      <c r="B15" s="12">
        <v>3</v>
      </c>
      <c r="C15" s="13">
        <v>44805</v>
      </c>
      <c r="D15" s="12" t="s">
        <v>12</v>
      </c>
      <c r="E15" s="12" t="s">
        <v>38</v>
      </c>
      <c r="F15" s="12">
        <v>1</v>
      </c>
      <c r="G15">
        <f t="shared" si="0"/>
        <v>737</v>
      </c>
      <c r="H15" s="17">
        <f>8/12</f>
        <v>0.66666666666666663</v>
      </c>
      <c r="I15" s="17">
        <f t="shared" si="1"/>
        <v>491.33333333333331</v>
      </c>
    </row>
    <row r="16" spans="2:9" x14ac:dyDescent="0.2">
      <c r="B16" s="12">
        <v>4</v>
      </c>
      <c r="C16" s="13">
        <v>44927</v>
      </c>
      <c r="D16" s="12" t="s">
        <v>12</v>
      </c>
      <c r="E16" s="12" t="s">
        <v>39</v>
      </c>
      <c r="F16" s="12">
        <v>2</v>
      </c>
      <c r="G16">
        <f t="shared" si="0"/>
        <v>666.80000000000007</v>
      </c>
      <c r="H16" s="17">
        <f>12/12</f>
        <v>1</v>
      </c>
      <c r="I16" s="17">
        <f t="shared" si="1"/>
        <v>1333.6000000000001</v>
      </c>
    </row>
    <row r="17" spans="2:33" x14ac:dyDescent="0.2">
      <c r="B17" s="12">
        <v>5</v>
      </c>
      <c r="C17" s="13">
        <v>45078</v>
      </c>
      <c r="D17" s="12" t="s">
        <v>11</v>
      </c>
      <c r="E17" s="12" t="s">
        <v>38</v>
      </c>
      <c r="F17" s="12">
        <v>3</v>
      </c>
      <c r="G17">
        <f t="shared" si="0"/>
        <v>575</v>
      </c>
      <c r="H17" s="17">
        <f>7/12</f>
        <v>0.58333333333333337</v>
      </c>
      <c r="I17" s="17">
        <f t="shared" si="1"/>
        <v>1006.2500000000001</v>
      </c>
    </row>
    <row r="18" spans="2:33" x14ac:dyDescent="0.2">
      <c r="B18" s="12">
        <v>6</v>
      </c>
      <c r="C18" s="13">
        <v>45214</v>
      </c>
      <c r="D18" s="12" t="s">
        <v>12</v>
      </c>
      <c r="E18" s="12" t="s">
        <v>39</v>
      </c>
      <c r="F18" s="12">
        <v>2</v>
      </c>
      <c r="G18">
        <f t="shared" si="0"/>
        <v>666.80000000000007</v>
      </c>
      <c r="H18" s="17">
        <f>5/24</f>
        <v>0.20833333333333334</v>
      </c>
      <c r="I18" s="17">
        <f t="shared" si="1"/>
        <v>277.83333333333337</v>
      </c>
      <c r="M18" s="15" t="s">
        <v>34</v>
      </c>
      <c r="N18" s="15" t="s">
        <v>59</v>
      </c>
      <c r="O18" s="15" t="s">
        <v>54</v>
      </c>
    </row>
    <row r="19" spans="2:33" x14ac:dyDescent="0.2">
      <c r="H19" s="15" t="s">
        <v>10</v>
      </c>
      <c r="I19" s="17">
        <f>SUM(I13:I18)</f>
        <v>3460.8500000000004</v>
      </c>
      <c r="M19" t="s">
        <v>52</v>
      </c>
      <c r="N19" s="20" t="s">
        <v>53</v>
      </c>
      <c r="O19">
        <v>1</v>
      </c>
    </row>
    <row r="20" spans="2:33" x14ac:dyDescent="0.2">
      <c r="M20" s="18">
        <v>42095</v>
      </c>
      <c r="N20" s="19">
        <v>0.05</v>
      </c>
      <c r="O20" s="21">
        <f>N20+1</f>
        <v>1.05</v>
      </c>
    </row>
    <row r="21" spans="2:33" x14ac:dyDescent="0.2">
      <c r="M21" s="18">
        <v>42370</v>
      </c>
      <c r="N21" s="19">
        <v>0.1</v>
      </c>
      <c r="O21" s="21">
        <f>N21+1</f>
        <v>1.1000000000000001</v>
      </c>
      <c r="P21" s="32" t="s">
        <v>67</v>
      </c>
    </row>
    <row r="23" spans="2:33" x14ac:dyDescent="0.2">
      <c r="M23" s="73"/>
      <c r="N23" s="74"/>
      <c r="O23" s="70" t="s">
        <v>60</v>
      </c>
      <c r="P23" s="71"/>
      <c r="Q23" s="71"/>
      <c r="R23" s="72"/>
      <c r="S23" s="70" t="s">
        <v>62</v>
      </c>
      <c r="T23" s="71"/>
      <c r="U23" s="71"/>
      <c r="V23" s="72"/>
      <c r="W23" s="70" t="s">
        <v>61</v>
      </c>
      <c r="X23" s="71"/>
      <c r="Y23" s="71"/>
      <c r="Z23" s="72"/>
    </row>
    <row r="24" spans="2:33" x14ac:dyDescent="0.2">
      <c r="M24" s="24" t="s">
        <v>50</v>
      </c>
      <c r="N24" s="25" t="s">
        <v>51</v>
      </c>
      <c r="O24" s="24" t="s">
        <v>55</v>
      </c>
      <c r="P24" s="15" t="s">
        <v>56</v>
      </c>
      <c r="Q24" s="15" t="s">
        <v>57</v>
      </c>
      <c r="R24" s="25" t="s">
        <v>58</v>
      </c>
      <c r="S24" s="24" t="s">
        <v>55</v>
      </c>
      <c r="T24" s="15" t="s">
        <v>56</v>
      </c>
      <c r="U24" s="15" t="s">
        <v>57</v>
      </c>
      <c r="V24" s="25" t="s">
        <v>58</v>
      </c>
      <c r="W24" s="24" t="s">
        <v>55</v>
      </c>
      <c r="X24" s="15" t="s">
        <v>56</v>
      </c>
      <c r="Y24" s="15" t="s">
        <v>57</v>
      </c>
      <c r="Z24" s="25" t="s">
        <v>58</v>
      </c>
    </row>
    <row r="25" spans="2:33" x14ac:dyDescent="0.2">
      <c r="M25" s="26">
        <v>1</v>
      </c>
      <c r="N25" s="27">
        <f>PRODUCT(O19)</f>
        <v>1</v>
      </c>
      <c r="O25" s="26">
        <v>0.125</v>
      </c>
      <c r="P25">
        <v>0</v>
      </c>
      <c r="Q25">
        <v>0</v>
      </c>
      <c r="R25" s="30">
        <v>0</v>
      </c>
      <c r="S25" s="79">
        <f>SUMPRODUCT(O25:O27,$N$25:$N$27)</f>
        <v>1.0568750000000002</v>
      </c>
      <c r="T25" s="77">
        <f t="shared" ref="T25:V25" si="2">SUMPRODUCT(P25:P27,$N$25:$N$27)</f>
        <v>1.089375</v>
      </c>
      <c r="U25" s="77">
        <f t="shared" si="2"/>
        <v>1.1156250000000001</v>
      </c>
      <c r="V25" s="75">
        <f t="shared" si="2"/>
        <v>1.1418750000000002</v>
      </c>
      <c r="W25" s="79">
        <f>$N$27/S25</f>
        <v>1.0928444707273803</v>
      </c>
      <c r="X25" s="77">
        <f t="shared" ref="X25:Z25" si="3">$N$27/T25</f>
        <v>1.060240963855422</v>
      </c>
      <c r="Y25" s="77">
        <f t="shared" si="3"/>
        <v>1.0352941176470589</v>
      </c>
      <c r="Z25" s="75">
        <f t="shared" si="3"/>
        <v>1.0114942528735633</v>
      </c>
    </row>
    <row r="26" spans="2:33" x14ac:dyDescent="0.2">
      <c r="M26" s="26">
        <v>2</v>
      </c>
      <c r="N26" s="27">
        <f>PRODUCT(O19:O20)</f>
        <v>1.05</v>
      </c>
      <c r="O26" s="26">
        <v>0.75</v>
      </c>
      <c r="P26">
        <v>0.625</v>
      </c>
      <c r="Q26">
        <v>0.375</v>
      </c>
      <c r="R26" s="30">
        <v>0.125</v>
      </c>
      <c r="S26" s="79"/>
      <c r="T26" s="77"/>
      <c r="U26" s="77"/>
      <c r="V26" s="75"/>
      <c r="W26" s="79"/>
      <c r="X26" s="77"/>
      <c r="Y26" s="77"/>
      <c r="Z26" s="75"/>
    </row>
    <row r="27" spans="2:33" x14ac:dyDescent="0.2">
      <c r="M27" s="28">
        <v>3</v>
      </c>
      <c r="N27" s="29">
        <f>PRODUCT(O19:O21)</f>
        <v>1.1550000000000002</v>
      </c>
      <c r="O27" s="28">
        <v>0.125</v>
      </c>
      <c r="P27" s="1">
        <v>0.375</v>
      </c>
      <c r="Q27" s="1">
        <v>0.625</v>
      </c>
      <c r="R27" s="31">
        <v>0.875</v>
      </c>
      <c r="S27" s="80"/>
      <c r="T27" s="78"/>
      <c r="U27" s="78"/>
      <c r="V27" s="76"/>
      <c r="W27" s="80"/>
      <c r="X27" s="78"/>
      <c r="Y27" s="78"/>
      <c r="Z27" s="76"/>
    </row>
    <row r="28" spans="2:33" x14ac:dyDescent="0.2">
      <c r="N28" s="32" t="s">
        <v>66</v>
      </c>
      <c r="S28" s="32" t="s">
        <v>64</v>
      </c>
      <c r="W28" s="32" t="s">
        <v>65</v>
      </c>
    </row>
    <row r="30" spans="2:33" x14ac:dyDescent="0.2">
      <c r="M30" t="s">
        <v>63</v>
      </c>
    </row>
    <row r="31" spans="2:33" x14ac:dyDescent="0.2">
      <c r="M31" s="22" t="s">
        <v>68</v>
      </c>
      <c r="AE31" s="15" t="s">
        <v>34</v>
      </c>
      <c r="AF31" s="15" t="s">
        <v>59</v>
      </c>
      <c r="AG31" s="15" t="s">
        <v>54</v>
      </c>
    </row>
    <row r="32" spans="2:33" x14ac:dyDescent="0.2">
      <c r="AE32" t="s">
        <v>52</v>
      </c>
      <c r="AF32" s="20" t="s">
        <v>53</v>
      </c>
      <c r="AG32">
        <v>1</v>
      </c>
    </row>
    <row r="33" spans="15:41" x14ac:dyDescent="0.2">
      <c r="AE33" s="18">
        <v>37165</v>
      </c>
      <c r="AF33" s="19">
        <v>7.0000000000000007E-2</v>
      </c>
      <c r="AG33" s="21">
        <f>AF33+1</f>
        <v>1.07</v>
      </c>
    </row>
    <row r="34" spans="15:41" x14ac:dyDescent="0.2">
      <c r="AE34" s="18">
        <v>37438</v>
      </c>
      <c r="AF34" s="19">
        <v>0.1</v>
      </c>
      <c r="AG34" s="21">
        <f>AF34+1</f>
        <v>1.1000000000000001</v>
      </c>
      <c r="AH34" s="32"/>
    </row>
    <row r="35" spans="15:41" x14ac:dyDescent="0.2">
      <c r="AE35" s="18" t="s">
        <v>70</v>
      </c>
      <c r="AF35">
        <v>-0.05</v>
      </c>
      <c r="AG35" s="21">
        <f>AF35+1</f>
        <v>0.95</v>
      </c>
    </row>
    <row r="37" spans="15:41" x14ac:dyDescent="0.2">
      <c r="AE37" s="83"/>
      <c r="AF37" s="83"/>
      <c r="AG37" s="82" t="s">
        <v>72</v>
      </c>
      <c r="AH37" s="82"/>
      <c r="AI37" s="82"/>
      <c r="AJ37" s="82" t="s">
        <v>76</v>
      </c>
      <c r="AK37" s="82"/>
      <c r="AL37" s="82"/>
      <c r="AM37" s="82" t="s">
        <v>77</v>
      </c>
      <c r="AN37" s="82"/>
      <c r="AO37" s="82"/>
    </row>
    <row r="38" spans="15:41" x14ac:dyDescent="0.2">
      <c r="AE38" s="15" t="s">
        <v>50</v>
      </c>
      <c r="AF38" s="15" t="s">
        <v>71</v>
      </c>
      <c r="AG38" s="15" t="s">
        <v>73</v>
      </c>
      <c r="AH38" s="15" t="s">
        <v>74</v>
      </c>
      <c r="AI38" s="15" t="s">
        <v>75</v>
      </c>
      <c r="AJ38" s="15" t="s">
        <v>73</v>
      </c>
      <c r="AK38" s="15" t="s">
        <v>74</v>
      </c>
      <c r="AL38" s="15" t="s">
        <v>75</v>
      </c>
      <c r="AM38" s="15" t="s">
        <v>73</v>
      </c>
      <c r="AN38" s="15" t="s">
        <v>74</v>
      </c>
      <c r="AO38" s="15" t="s">
        <v>75</v>
      </c>
    </row>
    <row r="39" spans="15:41" x14ac:dyDescent="0.2">
      <c r="AE39">
        <v>1</v>
      </c>
      <c r="AF39">
        <f>PRODUCT(AG32)</f>
        <v>1</v>
      </c>
      <c r="AH39">
        <f>0.5*3/4*3/4</f>
        <v>0.28125</v>
      </c>
      <c r="AJ39" s="81"/>
      <c r="AK39" s="81">
        <f>SUMPRODUCT(AH39:AH42,AF39:AF42)</f>
        <v>1.0636875000000001</v>
      </c>
      <c r="AL39" s="81"/>
      <c r="AM39" s="81"/>
      <c r="AN39" s="81">
        <f>$AF$42/AK39</f>
        <v>1.0512015982137612</v>
      </c>
      <c r="AO39" s="81"/>
    </row>
    <row r="40" spans="15:41" x14ac:dyDescent="0.2">
      <c r="AE40">
        <v>2</v>
      </c>
      <c r="AF40">
        <f>PRODUCT(AG32:AG33)</f>
        <v>1.07</v>
      </c>
      <c r="AH40">
        <f>1-AH39-AH41</f>
        <v>0.59375</v>
      </c>
      <c r="AJ40" s="81"/>
      <c r="AK40" s="81"/>
      <c r="AL40" s="81"/>
      <c r="AM40" s="81"/>
      <c r="AN40" s="81"/>
      <c r="AO40" s="81"/>
    </row>
    <row r="41" spans="15:41" x14ac:dyDescent="0.2">
      <c r="AE41">
        <v>3</v>
      </c>
      <c r="AF41">
        <f>PRODUCT(AG32:AG34)</f>
        <v>1.1770000000000003</v>
      </c>
      <c r="AH41">
        <v>0.125</v>
      </c>
      <c r="AJ41" s="81"/>
      <c r="AK41" s="81"/>
      <c r="AL41" s="81"/>
      <c r="AM41" s="81"/>
      <c r="AN41" s="81"/>
      <c r="AO41" s="81"/>
    </row>
    <row r="42" spans="15:41" x14ac:dyDescent="0.2">
      <c r="AE42">
        <v>4</v>
      </c>
      <c r="AF42">
        <f>PRODUCT(AG32:AG35)</f>
        <v>1.1181500000000002</v>
      </c>
      <c r="AH42">
        <v>0</v>
      </c>
      <c r="AJ42" s="81"/>
      <c r="AK42" s="81"/>
      <c r="AL42" s="81"/>
      <c r="AM42" s="81"/>
      <c r="AN42" s="81"/>
      <c r="AO42" s="81"/>
    </row>
    <row r="44" spans="15:41" x14ac:dyDescent="0.2">
      <c r="AE44" s="83"/>
      <c r="AF44" s="83"/>
      <c r="AG44" s="82" t="s">
        <v>72</v>
      </c>
      <c r="AH44" s="82"/>
      <c r="AI44" s="82"/>
      <c r="AJ44" s="82" t="s">
        <v>76</v>
      </c>
      <c r="AK44" s="82"/>
      <c r="AL44" s="82"/>
      <c r="AM44" s="82" t="s">
        <v>77</v>
      </c>
      <c r="AN44" s="82"/>
      <c r="AO44" s="82"/>
    </row>
    <row r="45" spans="15:41" x14ac:dyDescent="0.2">
      <c r="AE45" s="15" t="s">
        <v>50</v>
      </c>
      <c r="AF45" s="15" t="s">
        <v>71</v>
      </c>
      <c r="AG45" s="15" t="s">
        <v>80</v>
      </c>
      <c r="AH45" s="15" t="s">
        <v>81</v>
      </c>
      <c r="AI45" s="15" t="s">
        <v>82</v>
      </c>
      <c r="AJ45" s="15" t="s">
        <v>80</v>
      </c>
      <c r="AK45" s="15" t="s">
        <v>81</v>
      </c>
      <c r="AL45" s="15" t="s">
        <v>82</v>
      </c>
      <c r="AM45" s="15" t="s">
        <v>80</v>
      </c>
      <c r="AN45" s="15" t="s">
        <v>81</v>
      </c>
      <c r="AO45" s="15" t="s">
        <v>82</v>
      </c>
    </row>
    <row r="46" spans="15:41" x14ac:dyDescent="0.2">
      <c r="AE46">
        <v>1</v>
      </c>
      <c r="AF46">
        <f>PRODUCT(AG32)</f>
        <v>1</v>
      </c>
      <c r="AH46">
        <v>0</v>
      </c>
      <c r="AJ46" s="81"/>
      <c r="AK46" s="81">
        <f>SUMPRODUCT(AH46:AH49,AF46:AF49)</f>
        <v>1.1161437500000002</v>
      </c>
      <c r="AL46" s="81"/>
      <c r="AM46" s="81"/>
      <c r="AN46" s="81">
        <f>$AF$49/AK46</f>
        <v>1.0017974835230676</v>
      </c>
      <c r="AO46" s="81"/>
    </row>
    <row r="47" spans="15:41" x14ac:dyDescent="0.2">
      <c r="AE47">
        <v>2</v>
      </c>
      <c r="AF47">
        <f>PRODUCT(AG32:AG33)</f>
        <v>1.07</v>
      </c>
      <c r="AH47">
        <v>0.5</v>
      </c>
      <c r="AJ47" s="81"/>
      <c r="AK47" s="81"/>
      <c r="AL47" s="81"/>
      <c r="AM47" s="81"/>
      <c r="AN47" s="81"/>
      <c r="AO47" s="81"/>
    </row>
    <row r="48" spans="15:41" x14ac:dyDescent="0.2">
      <c r="O48" t="s">
        <v>69</v>
      </c>
      <c r="AE48">
        <v>3</v>
      </c>
      <c r="AF48">
        <f>PRODUCT(AG32:AG34)</f>
        <v>1.1770000000000003</v>
      </c>
      <c r="AH48">
        <v>0.375</v>
      </c>
      <c r="AJ48" s="81"/>
      <c r="AK48" s="81"/>
      <c r="AL48" s="81"/>
      <c r="AM48" s="81"/>
      <c r="AN48" s="81"/>
      <c r="AO48" s="81"/>
    </row>
    <row r="49" spans="31:52" x14ac:dyDescent="0.2">
      <c r="AE49">
        <v>4</v>
      </c>
      <c r="AF49">
        <f>PRODUCT(AG32:AG35)</f>
        <v>1.1181500000000002</v>
      </c>
      <c r="AH49">
        <v>0.125</v>
      </c>
      <c r="AJ49" s="81"/>
      <c r="AK49" s="81"/>
      <c r="AL49" s="81"/>
      <c r="AM49" s="81"/>
      <c r="AN49" s="81"/>
      <c r="AO49" s="81"/>
    </row>
    <row r="53" spans="31:52" x14ac:dyDescent="0.2">
      <c r="AS53" s="15" t="s">
        <v>34</v>
      </c>
      <c r="AT53" s="15" t="s">
        <v>59</v>
      </c>
      <c r="AU53" s="15" t="s">
        <v>54</v>
      </c>
    </row>
    <row r="54" spans="31:52" x14ac:dyDescent="0.2">
      <c r="AS54" t="s">
        <v>52</v>
      </c>
      <c r="AT54" s="20" t="s">
        <v>53</v>
      </c>
      <c r="AU54">
        <v>1</v>
      </c>
    </row>
    <row r="55" spans="31:52" x14ac:dyDescent="0.2">
      <c r="AS55" s="18">
        <v>39356</v>
      </c>
      <c r="AT55" s="19">
        <v>0.05</v>
      </c>
      <c r="AU55" s="21">
        <f>AT55+1</f>
        <v>1.05</v>
      </c>
      <c r="AV55" s="32"/>
    </row>
    <row r="56" spans="31:52" x14ac:dyDescent="0.2">
      <c r="AS56" s="18" t="s">
        <v>83</v>
      </c>
      <c r="AT56" s="19">
        <v>0.1</v>
      </c>
      <c r="AU56" s="21">
        <f>AT56+1</f>
        <v>1.1000000000000001</v>
      </c>
    </row>
    <row r="58" spans="31:52" ht="32" customHeight="1" x14ac:dyDescent="0.2">
      <c r="AS58" s="83"/>
      <c r="AT58" s="83"/>
      <c r="AU58" s="82" t="s">
        <v>72</v>
      </c>
      <c r="AV58" s="82"/>
      <c r="AW58" s="84" t="s">
        <v>76</v>
      </c>
      <c r="AX58" s="84"/>
      <c r="AY58" s="82" t="s">
        <v>77</v>
      </c>
      <c r="AZ58" s="82"/>
    </row>
    <row r="59" spans="31:52" x14ac:dyDescent="0.2">
      <c r="AS59" s="15" t="s">
        <v>50</v>
      </c>
      <c r="AT59" s="15" t="s">
        <v>71</v>
      </c>
      <c r="AU59" s="15" t="s">
        <v>78</v>
      </c>
      <c r="AV59" s="15" t="s">
        <v>79</v>
      </c>
      <c r="AW59" s="15" t="s">
        <v>78</v>
      </c>
      <c r="AX59" s="15" t="s">
        <v>79</v>
      </c>
      <c r="AY59" s="15" t="s">
        <v>78</v>
      </c>
      <c r="AZ59" s="15" t="s">
        <v>79</v>
      </c>
    </row>
    <row r="60" spans="31:52" x14ac:dyDescent="0.2">
      <c r="AS60">
        <v>1</v>
      </c>
      <c r="AT60">
        <f>PRODUCT(AU54)</f>
        <v>1</v>
      </c>
      <c r="AV60">
        <f>1/16</f>
        <v>6.25E-2</v>
      </c>
      <c r="AW60" s="81"/>
      <c r="AX60" s="81">
        <f>SUMPRODUCT(AV60:AV62,AT60:AT62)</f>
        <v>1.0993750000000002</v>
      </c>
      <c r="AY60" s="81"/>
      <c r="AZ60" s="81">
        <f>$AT$62/AX60</f>
        <v>1.0505969300739058</v>
      </c>
    </row>
    <row r="61" spans="31:52" x14ac:dyDescent="0.2">
      <c r="AS61">
        <v>2</v>
      </c>
      <c r="AT61">
        <f>PRODUCT(AU54:AU55)</f>
        <v>1.05</v>
      </c>
      <c r="AV61">
        <f>0.5-AV60</f>
        <v>0.4375</v>
      </c>
      <c r="AW61" s="81"/>
      <c r="AX61" s="81"/>
      <c r="AY61" s="81"/>
      <c r="AZ61" s="81"/>
    </row>
    <row r="62" spans="31:52" x14ac:dyDescent="0.2">
      <c r="AS62">
        <v>3</v>
      </c>
      <c r="AT62">
        <f>PRODUCT(AU54:AU56)</f>
        <v>1.1550000000000002</v>
      </c>
      <c r="AV62">
        <v>0.5</v>
      </c>
      <c r="AW62" s="81"/>
      <c r="AX62" s="81"/>
      <c r="AY62" s="81"/>
      <c r="AZ62" s="81"/>
    </row>
    <row r="63" spans="31:52" x14ac:dyDescent="0.2">
      <c r="AW63" s="23"/>
      <c r="AX63" s="23"/>
      <c r="AY63" s="23"/>
      <c r="AZ63" s="23"/>
    </row>
  </sheetData>
  <mergeCells count="40">
    <mergeCell ref="AW60:AW62"/>
    <mergeCell ref="AZ60:AZ62"/>
    <mergeCell ref="AY60:AY62"/>
    <mergeCell ref="AX60:AX62"/>
    <mergeCell ref="AO46:AO49"/>
    <mergeCell ref="AS58:AT58"/>
    <mergeCell ref="AU58:AV58"/>
    <mergeCell ref="AW58:AX58"/>
    <mergeCell ref="AY58:AZ58"/>
    <mergeCell ref="AM37:AO37"/>
    <mergeCell ref="AE44:AF44"/>
    <mergeCell ref="AG44:AI44"/>
    <mergeCell ref="AJ44:AL44"/>
    <mergeCell ref="AM44:AO44"/>
    <mergeCell ref="AO39:AO42"/>
    <mergeCell ref="AN39:AN42"/>
    <mergeCell ref="AM39:AM42"/>
    <mergeCell ref="AG37:AI37"/>
    <mergeCell ref="AE37:AF37"/>
    <mergeCell ref="AJ37:AL37"/>
    <mergeCell ref="AL39:AL42"/>
    <mergeCell ref="AK39:AK42"/>
    <mergeCell ref="AJ39:AJ42"/>
    <mergeCell ref="AJ46:AJ49"/>
    <mergeCell ref="AK46:AK49"/>
    <mergeCell ref="AL46:AL49"/>
    <mergeCell ref="AM46:AM49"/>
    <mergeCell ref="AN46:AN49"/>
    <mergeCell ref="W23:Z23"/>
    <mergeCell ref="M23:N23"/>
    <mergeCell ref="Z25:Z27"/>
    <mergeCell ref="Y25:Y27"/>
    <mergeCell ref="X25:X27"/>
    <mergeCell ref="W25:W27"/>
    <mergeCell ref="O23:R23"/>
    <mergeCell ref="S25:S27"/>
    <mergeCell ref="T25:T27"/>
    <mergeCell ref="U25:U27"/>
    <mergeCell ref="V25:V27"/>
    <mergeCell ref="S23:V23"/>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E13D7-1175-664F-8D0F-143E3674FA37}">
  <dimension ref="B4:R38"/>
  <sheetViews>
    <sheetView workbookViewId="0">
      <selection activeCell="R38" sqref="R38"/>
    </sheetView>
  </sheetViews>
  <sheetFormatPr baseColWidth="10" defaultRowHeight="16" x14ac:dyDescent="0.2"/>
  <sheetData>
    <row r="4" spans="2:15" x14ac:dyDescent="0.2">
      <c r="C4" s="11" t="s">
        <v>84</v>
      </c>
      <c r="J4" s="11" t="s">
        <v>89</v>
      </c>
      <c r="O4" s="36" t="s">
        <v>94</v>
      </c>
    </row>
    <row r="5" spans="2:15" x14ac:dyDescent="0.2">
      <c r="B5" s="11" t="s">
        <v>88</v>
      </c>
      <c r="C5" s="11">
        <v>12</v>
      </c>
      <c r="D5" s="11">
        <v>24</v>
      </c>
      <c r="E5" s="11">
        <v>36</v>
      </c>
      <c r="I5" s="11" t="s">
        <v>88</v>
      </c>
      <c r="J5" s="11">
        <v>12</v>
      </c>
      <c r="K5" s="11">
        <v>24</v>
      </c>
      <c r="L5" s="11">
        <v>36</v>
      </c>
    </row>
    <row r="6" spans="2:15" x14ac:dyDescent="0.2">
      <c r="B6" s="12">
        <v>2014</v>
      </c>
      <c r="C6" s="33">
        <v>1150</v>
      </c>
      <c r="D6" s="33">
        <v>2250</v>
      </c>
      <c r="E6" s="33">
        <v>3000</v>
      </c>
      <c r="I6" s="12">
        <v>2014</v>
      </c>
      <c r="J6" s="34">
        <f>C6/C13</f>
        <v>0.22330097087378642</v>
      </c>
      <c r="K6" s="34">
        <f t="shared" ref="K6:L6" si="0">D6/D13</f>
        <v>0.3125</v>
      </c>
      <c r="L6" s="34">
        <f t="shared" si="0"/>
        <v>0.375</v>
      </c>
    </row>
    <row r="7" spans="2:15" x14ac:dyDescent="0.2">
      <c r="B7" s="12">
        <v>2015</v>
      </c>
      <c r="C7" s="33">
        <v>1250</v>
      </c>
      <c r="D7" s="33">
        <v>2400</v>
      </c>
      <c r="E7" s="12"/>
      <c r="I7" s="12">
        <v>2015</v>
      </c>
      <c r="J7" s="34">
        <f>C7/C14</f>
        <v>0.26041666666666669</v>
      </c>
      <c r="K7" s="34">
        <f>D7/D14</f>
        <v>0.35820895522388058</v>
      </c>
      <c r="L7" s="35"/>
    </row>
    <row r="8" spans="2:15" x14ac:dyDescent="0.2">
      <c r="B8" s="12">
        <v>2016</v>
      </c>
      <c r="C8" s="33">
        <v>1550</v>
      </c>
      <c r="D8" s="12"/>
      <c r="I8" s="12">
        <v>2016</v>
      </c>
      <c r="J8" s="34">
        <f>C8/C15</f>
        <v>0.32631578947368423</v>
      </c>
      <c r="K8" s="35"/>
      <c r="L8" s="22"/>
    </row>
    <row r="11" spans="2:15" x14ac:dyDescent="0.2">
      <c r="C11" s="11" t="s">
        <v>85</v>
      </c>
      <c r="J11" s="11" t="s">
        <v>90</v>
      </c>
      <c r="O11" s="36" t="s">
        <v>93</v>
      </c>
    </row>
    <row r="12" spans="2:15" x14ac:dyDescent="0.2">
      <c r="B12" s="11" t="s">
        <v>88</v>
      </c>
      <c r="C12" s="11">
        <v>12</v>
      </c>
      <c r="D12" s="11">
        <v>24</v>
      </c>
      <c r="E12" s="11">
        <v>36</v>
      </c>
      <c r="I12" s="11" t="s">
        <v>88</v>
      </c>
      <c r="J12" s="11">
        <v>12</v>
      </c>
      <c r="K12" s="11">
        <v>24</v>
      </c>
      <c r="L12" s="11">
        <v>36</v>
      </c>
    </row>
    <row r="13" spans="2:15" x14ac:dyDescent="0.2">
      <c r="B13" s="12">
        <v>2014</v>
      </c>
      <c r="C13" s="33">
        <v>5150</v>
      </c>
      <c r="D13" s="33">
        <v>7200</v>
      </c>
      <c r="E13" s="33">
        <v>8000</v>
      </c>
      <c r="I13" s="12">
        <v>2014</v>
      </c>
      <c r="J13" s="34">
        <f>(C20-C27)/C20</f>
        <v>0.49019607843137253</v>
      </c>
      <c r="K13" s="34">
        <f t="shared" ref="K13:L13" si="1">(D20-D27)/D20</f>
        <v>0.73831775700934577</v>
      </c>
      <c r="L13" s="34">
        <f t="shared" si="1"/>
        <v>0.88888888888888884</v>
      </c>
    </row>
    <row r="14" spans="2:15" x14ac:dyDescent="0.2">
      <c r="B14" s="12">
        <v>2015</v>
      </c>
      <c r="C14" s="33">
        <v>4800</v>
      </c>
      <c r="D14" s="33">
        <v>6700</v>
      </c>
      <c r="E14" s="12"/>
      <c r="I14" s="12">
        <v>2015</v>
      </c>
      <c r="J14" s="34">
        <f t="shared" ref="J14:J15" si="2">(C21-C28)/C21</f>
        <v>0.52083333333333337</v>
      </c>
      <c r="K14" s="34">
        <f>(D21-D28)/D21</f>
        <v>0.75247524752475248</v>
      </c>
      <c r="L14" s="35"/>
    </row>
    <row r="15" spans="2:15" x14ac:dyDescent="0.2">
      <c r="B15" s="12">
        <v>2016</v>
      </c>
      <c r="C15" s="33">
        <v>4750</v>
      </c>
      <c r="D15" s="12"/>
      <c r="I15" s="12">
        <v>2016</v>
      </c>
      <c r="J15" s="34">
        <f t="shared" si="2"/>
        <v>0.5757575757575758</v>
      </c>
      <c r="K15" s="35"/>
      <c r="L15" s="22"/>
    </row>
    <row r="18" spans="2:15" x14ac:dyDescent="0.2">
      <c r="B18" s="11"/>
      <c r="C18" s="11" t="s">
        <v>86</v>
      </c>
      <c r="J18" s="11" t="s">
        <v>91</v>
      </c>
      <c r="O18" s="36" t="s">
        <v>92</v>
      </c>
    </row>
    <row r="19" spans="2:15" x14ac:dyDescent="0.2">
      <c r="B19" s="11" t="s">
        <v>88</v>
      </c>
      <c r="C19" s="11">
        <v>12</v>
      </c>
      <c r="D19" s="11">
        <v>24</v>
      </c>
      <c r="E19" s="11">
        <v>36</v>
      </c>
      <c r="I19" s="11" t="s">
        <v>88</v>
      </c>
      <c r="J19" s="11">
        <v>12</v>
      </c>
      <c r="K19" s="11">
        <v>24</v>
      </c>
      <c r="L19" s="11">
        <v>36</v>
      </c>
    </row>
    <row r="20" spans="2:15" x14ac:dyDescent="0.2">
      <c r="B20" s="12">
        <v>2014</v>
      </c>
      <c r="C20" s="12">
        <v>102</v>
      </c>
      <c r="D20" s="12">
        <v>107</v>
      </c>
      <c r="E20" s="12">
        <v>108</v>
      </c>
      <c r="I20" s="12">
        <v>2014</v>
      </c>
      <c r="J20" s="37">
        <f>(C13-C6)/C27</f>
        <v>76.92307692307692</v>
      </c>
      <c r="K20" s="37">
        <f t="shared" ref="K20:L20" si="3">(D13-D6)/D27</f>
        <v>176.78571428571428</v>
      </c>
      <c r="L20" s="37">
        <f t="shared" si="3"/>
        <v>416.66666666666669</v>
      </c>
    </row>
    <row r="21" spans="2:15" x14ac:dyDescent="0.2">
      <c r="B21" s="12">
        <v>2015</v>
      </c>
      <c r="C21" s="12">
        <v>96</v>
      </c>
      <c r="D21" s="12">
        <v>101</v>
      </c>
      <c r="E21" s="12"/>
      <c r="I21" s="12">
        <v>2015</v>
      </c>
      <c r="J21" s="37">
        <f t="shared" ref="J21:K22" si="4">(C14-C7)/C28</f>
        <v>77.173913043478265</v>
      </c>
      <c r="K21" s="37">
        <f t="shared" si="4"/>
        <v>172</v>
      </c>
      <c r="L21" s="37"/>
    </row>
    <row r="22" spans="2:15" x14ac:dyDescent="0.2">
      <c r="B22" s="12">
        <v>2016</v>
      </c>
      <c r="C22" s="12">
        <v>99</v>
      </c>
      <c r="D22" s="12"/>
      <c r="I22" s="12">
        <v>2016</v>
      </c>
      <c r="J22" s="37">
        <f t="shared" si="4"/>
        <v>76.19047619047619</v>
      </c>
      <c r="K22" s="37"/>
      <c r="L22" s="38"/>
    </row>
    <row r="25" spans="2:15" x14ac:dyDescent="0.2">
      <c r="C25" s="11" t="s">
        <v>87</v>
      </c>
    </row>
    <row r="26" spans="2:15" x14ac:dyDescent="0.2">
      <c r="B26" s="11" t="s">
        <v>88</v>
      </c>
      <c r="C26" s="11">
        <v>12</v>
      </c>
      <c r="D26" s="11">
        <v>24</v>
      </c>
      <c r="E26" s="11">
        <v>36</v>
      </c>
    </row>
    <row r="27" spans="2:15" x14ac:dyDescent="0.2">
      <c r="B27" s="12">
        <v>2014</v>
      </c>
      <c r="C27" s="12">
        <v>52</v>
      </c>
      <c r="D27" s="12">
        <v>28</v>
      </c>
      <c r="E27" s="12">
        <v>12</v>
      </c>
    </row>
    <row r="28" spans="2:15" x14ac:dyDescent="0.2">
      <c r="B28" s="12">
        <v>2015</v>
      </c>
      <c r="C28" s="12">
        <v>46</v>
      </c>
      <c r="D28" s="12">
        <v>25</v>
      </c>
      <c r="E28" s="12"/>
    </row>
    <row r="29" spans="2:15" x14ac:dyDescent="0.2">
      <c r="B29" s="12">
        <v>2016</v>
      </c>
      <c r="C29" s="12">
        <v>42</v>
      </c>
      <c r="D29" s="12"/>
    </row>
    <row r="38" spans="18:18" x14ac:dyDescent="0.2">
      <c r="R38" t="s">
        <v>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FCFE6-F211-E246-984A-FC86F03460FF}">
  <dimension ref="B3:AC172"/>
  <sheetViews>
    <sheetView topLeftCell="X149" zoomScale="85" workbookViewId="0">
      <selection activeCell="AD178" sqref="AD178"/>
    </sheetView>
  </sheetViews>
  <sheetFormatPr baseColWidth="10" defaultRowHeight="16" x14ac:dyDescent="0.2"/>
  <cols>
    <col min="3" max="4" width="10.83203125" customWidth="1"/>
    <col min="9" max="9" width="21.83203125" customWidth="1"/>
    <col min="10" max="10" width="21" customWidth="1"/>
    <col min="11" max="11" width="21.6640625" customWidth="1"/>
    <col min="17" max="17" width="14.5" customWidth="1"/>
    <col min="18" max="18" width="18" customWidth="1"/>
    <col min="19" max="19" width="14.6640625" customWidth="1"/>
    <col min="21" max="21" width="10.83203125" customWidth="1"/>
    <col min="25" max="25" width="14.33203125" customWidth="1"/>
    <col min="26" max="26" width="19" customWidth="1"/>
    <col min="27" max="27" width="15.83203125" customWidth="1"/>
  </cols>
  <sheetData>
    <row r="3" spans="2:7" x14ac:dyDescent="0.2">
      <c r="B3" s="85" t="s">
        <v>96</v>
      </c>
      <c r="C3" s="11" t="s">
        <v>97</v>
      </c>
    </row>
    <row r="4" spans="2:7" x14ac:dyDescent="0.2">
      <c r="B4" s="85"/>
      <c r="C4" s="11" t="s">
        <v>98</v>
      </c>
      <c r="D4" s="11" t="s">
        <v>99</v>
      </c>
      <c r="E4" s="11" t="s">
        <v>100</v>
      </c>
      <c r="F4" s="11" t="s">
        <v>101</v>
      </c>
      <c r="G4" s="11" t="s">
        <v>102</v>
      </c>
    </row>
    <row r="5" spans="2:7" x14ac:dyDescent="0.2">
      <c r="B5" s="12">
        <v>2017</v>
      </c>
      <c r="C5" s="12">
        <v>231</v>
      </c>
      <c r="D5" s="12">
        <v>82</v>
      </c>
      <c r="E5" s="12">
        <v>51</v>
      </c>
      <c r="F5" s="12">
        <v>32</v>
      </c>
      <c r="G5" s="12">
        <v>14</v>
      </c>
    </row>
    <row r="6" spans="2:7" x14ac:dyDescent="0.2">
      <c r="B6" s="12">
        <v>2018</v>
      </c>
      <c r="C6" s="12">
        <v>218</v>
      </c>
      <c r="D6" s="12">
        <v>77</v>
      </c>
      <c r="E6" s="12">
        <v>46</v>
      </c>
      <c r="F6" s="12">
        <v>30</v>
      </c>
      <c r="G6" s="12"/>
    </row>
    <row r="7" spans="2:7" x14ac:dyDescent="0.2">
      <c r="B7" s="12">
        <v>2019</v>
      </c>
      <c r="C7" s="12">
        <v>257</v>
      </c>
      <c r="D7" s="12">
        <v>85</v>
      </c>
      <c r="E7" s="12">
        <v>54</v>
      </c>
      <c r="F7" s="12"/>
      <c r="G7" s="12"/>
    </row>
    <row r="8" spans="2:7" x14ac:dyDescent="0.2">
      <c r="B8" s="12">
        <v>2020</v>
      </c>
      <c r="C8" s="12">
        <v>290</v>
      </c>
      <c r="D8" s="12">
        <v>96</v>
      </c>
      <c r="E8" s="12"/>
      <c r="F8" s="12"/>
      <c r="G8" s="12"/>
    </row>
    <row r="9" spans="2:7" x14ac:dyDescent="0.2">
      <c r="B9" s="12">
        <v>2021</v>
      </c>
      <c r="C9" s="12">
        <v>310</v>
      </c>
      <c r="D9" s="12"/>
      <c r="E9" s="12"/>
      <c r="F9" s="12"/>
    </row>
    <row r="10" spans="2:7" x14ac:dyDescent="0.2">
      <c r="B10" s="12"/>
      <c r="C10" s="12"/>
      <c r="D10" s="12"/>
      <c r="E10" s="12"/>
      <c r="F10" s="12"/>
    </row>
    <row r="11" spans="2:7" x14ac:dyDescent="0.2">
      <c r="B11" s="85" t="s">
        <v>96</v>
      </c>
      <c r="C11" s="11" t="s">
        <v>126</v>
      </c>
    </row>
    <row r="12" spans="2:7" x14ac:dyDescent="0.2">
      <c r="B12" s="85"/>
      <c r="C12" s="11" t="s">
        <v>98</v>
      </c>
      <c r="D12" s="11" t="s">
        <v>99</v>
      </c>
      <c r="E12" s="11" t="s">
        <v>100</v>
      </c>
      <c r="F12" s="11" t="s">
        <v>101</v>
      </c>
      <c r="G12" s="11" t="s">
        <v>102</v>
      </c>
    </row>
    <row r="13" spans="2:7" x14ac:dyDescent="0.2">
      <c r="B13" s="12">
        <v>2017</v>
      </c>
      <c r="C13" s="12">
        <f>SUM(C5)</f>
        <v>231</v>
      </c>
      <c r="D13" s="12">
        <f>SUM(C5:D5)</f>
        <v>313</v>
      </c>
      <c r="E13" s="12">
        <f>SUM(C5:E5)</f>
        <v>364</v>
      </c>
      <c r="F13" s="12">
        <f>SUM(C5:F5)</f>
        <v>396</v>
      </c>
      <c r="G13" s="12">
        <f>SUM(C5:G5)</f>
        <v>410</v>
      </c>
    </row>
    <row r="14" spans="2:7" x14ac:dyDescent="0.2">
      <c r="B14" s="12">
        <v>2018</v>
      </c>
      <c r="C14" s="12">
        <f>SUM(C6)</f>
        <v>218</v>
      </c>
      <c r="D14" s="12">
        <f t="shared" ref="D14:D16" si="0">SUM(C6:D6)</f>
        <v>295</v>
      </c>
      <c r="E14" s="12">
        <f t="shared" ref="E14:E15" si="1">SUM(C6:E6)</f>
        <v>341</v>
      </c>
      <c r="F14" s="12">
        <f>SUM(C6:F6)</f>
        <v>371</v>
      </c>
      <c r="G14" s="12"/>
    </row>
    <row r="15" spans="2:7" x14ac:dyDescent="0.2">
      <c r="B15" s="12">
        <v>2019</v>
      </c>
      <c r="C15" s="12">
        <f>SUM(C7)</f>
        <v>257</v>
      </c>
      <c r="D15" s="12">
        <f t="shared" si="0"/>
        <v>342</v>
      </c>
      <c r="E15" s="12">
        <f t="shared" si="1"/>
        <v>396</v>
      </c>
      <c r="F15" s="12"/>
      <c r="G15" s="12"/>
    </row>
    <row r="16" spans="2:7" x14ac:dyDescent="0.2">
      <c r="B16" s="12">
        <v>2020</v>
      </c>
      <c r="C16" s="12">
        <f>SUM(C8)</f>
        <v>290</v>
      </c>
      <c r="D16" s="12">
        <f t="shared" si="0"/>
        <v>386</v>
      </c>
      <c r="E16" s="12"/>
      <c r="F16" s="12"/>
      <c r="G16" s="12"/>
    </row>
    <row r="18" spans="2:7" x14ac:dyDescent="0.2">
      <c r="B18" s="85" t="s">
        <v>96</v>
      </c>
      <c r="C18" s="11" t="s">
        <v>107</v>
      </c>
    </row>
    <row r="19" spans="2:7" x14ac:dyDescent="0.2">
      <c r="B19" s="85"/>
      <c r="C19" s="39" t="s">
        <v>103</v>
      </c>
      <c r="D19" s="40" t="s">
        <v>104</v>
      </c>
      <c r="E19" s="40" t="s">
        <v>105</v>
      </c>
      <c r="F19" s="40" t="s">
        <v>106</v>
      </c>
      <c r="G19" s="11"/>
    </row>
    <row r="20" spans="2:7" x14ac:dyDescent="0.2">
      <c r="B20" s="12">
        <v>2017</v>
      </c>
      <c r="C20" s="41">
        <f>D13/C13</f>
        <v>1.3549783549783549</v>
      </c>
      <c r="D20" s="41">
        <f t="shared" ref="D20:F20" si="2">E13/D13</f>
        <v>1.1629392971246006</v>
      </c>
      <c r="E20" s="41">
        <f t="shared" si="2"/>
        <v>1.0879120879120878</v>
      </c>
      <c r="F20" s="41">
        <f t="shared" si="2"/>
        <v>1.0353535353535352</v>
      </c>
      <c r="G20" s="12"/>
    </row>
    <row r="21" spans="2:7" x14ac:dyDescent="0.2">
      <c r="B21" s="12">
        <v>2018</v>
      </c>
      <c r="C21" s="41">
        <f t="shared" ref="C21:D23" si="3">D14/C14</f>
        <v>1.3532110091743119</v>
      </c>
      <c r="D21" s="41">
        <f t="shared" si="3"/>
        <v>1.1559322033898305</v>
      </c>
      <c r="E21" s="41">
        <f>F14/E14</f>
        <v>1.0879765395894427</v>
      </c>
      <c r="F21" s="35"/>
      <c r="G21" s="12"/>
    </row>
    <row r="22" spans="2:7" x14ac:dyDescent="0.2">
      <c r="B22" s="12">
        <v>2019</v>
      </c>
      <c r="C22" s="41">
        <f t="shared" si="3"/>
        <v>1.3307392996108949</v>
      </c>
      <c r="D22" s="41">
        <f t="shared" si="3"/>
        <v>1.1578947368421053</v>
      </c>
      <c r="E22" s="35"/>
      <c r="F22" s="35"/>
      <c r="G22" s="12" t="s">
        <v>132</v>
      </c>
    </row>
    <row r="23" spans="2:7" x14ac:dyDescent="0.2">
      <c r="B23" s="12">
        <v>2020</v>
      </c>
      <c r="C23" s="41">
        <f t="shared" si="3"/>
        <v>1.3310344827586207</v>
      </c>
      <c r="D23" s="35"/>
      <c r="E23" s="35"/>
      <c r="F23" s="35"/>
      <c r="G23" s="12"/>
    </row>
    <row r="24" spans="2:7" x14ac:dyDescent="0.2">
      <c r="B24" s="12"/>
      <c r="C24" s="12"/>
      <c r="D24" s="12"/>
      <c r="E24" s="12"/>
      <c r="F24" s="12"/>
    </row>
    <row r="25" spans="2:7" x14ac:dyDescent="0.2">
      <c r="B25" s="15" t="s">
        <v>109</v>
      </c>
      <c r="C25" s="15" t="s">
        <v>110</v>
      </c>
    </row>
    <row r="26" spans="2:7" x14ac:dyDescent="0.2">
      <c r="B26" s="3" t="s">
        <v>103</v>
      </c>
      <c r="C26" s="43">
        <f>SUM(D13:D16)/SUM(C13:C16)</f>
        <v>1.3413654618473896</v>
      </c>
      <c r="D26" s="36" t="s">
        <v>127</v>
      </c>
    </row>
    <row r="27" spans="2:7" x14ac:dyDescent="0.2">
      <c r="B27" s="3" t="s">
        <v>104</v>
      </c>
      <c r="C27" s="43">
        <f>SUM(E13:E15)/SUM(D13:D15)</f>
        <v>1.1589473684210527</v>
      </c>
    </row>
    <row r="28" spans="2:7" x14ac:dyDescent="0.2">
      <c r="B28" s="3" t="s">
        <v>105</v>
      </c>
      <c r="C28" s="43">
        <f>SUM(F13:F14)/SUM(E13:E14)</f>
        <v>1.0879432624113474</v>
      </c>
    </row>
    <row r="29" spans="2:7" x14ac:dyDescent="0.2">
      <c r="B29" s="3" t="s">
        <v>106</v>
      </c>
      <c r="C29" s="43">
        <f>G13/F13</f>
        <v>1.0353535353535352</v>
      </c>
    </row>
    <row r="30" spans="2:7" x14ac:dyDescent="0.2">
      <c r="B30" s="3" t="s">
        <v>111</v>
      </c>
      <c r="C30">
        <v>1.02</v>
      </c>
      <c r="D30" t="s">
        <v>112</v>
      </c>
    </row>
    <row r="32" spans="2:7" x14ac:dyDescent="0.2">
      <c r="B32" s="15" t="s">
        <v>113</v>
      </c>
      <c r="C32" s="15" t="s">
        <v>108</v>
      </c>
    </row>
    <row r="33" spans="2:5" x14ac:dyDescent="0.2">
      <c r="B33" s="3" t="s">
        <v>114</v>
      </c>
      <c r="C33" s="43">
        <f>PRODUCT(C26:C30)</f>
        <v>1.786100626933401</v>
      </c>
      <c r="D33" s="36" t="s">
        <v>118</v>
      </c>
    </row>
    <row r="34" spans="2:5" x14ac:dyDescent="0.2">
      <c r="B34" s="3" t="s">
        <v>115</v>
      </c>
      <c r="C34" s="43">
        <f>PRODUCT(C27:C30)</f>
        <v>1.3315540601988531</v>
      </c>
    </row>
    <row r="35" spans="2:5" x14ac:dyDescent="0.2">
      <c r="B35" s="3" t="s">
        <v>116</v>
      </c>
      <c r="C35" s="43">
        <f>PRODUCT(C28:C30)</f>
        <v>1.1489340210616805</v>
      </c>
    </row>
    <row r="36" spans="2:5" x14ac:dyDescent="0.2">
      <c r="B36" s="3" t="s">
        <v>117</v>
      </c>
      <c r="C36" s="43">
        <f>PRODUCT(C29:C30)</f>
        <v>1.0560606060606059</v>
      </c>
    </row>
    <row r="37" spans="2:5" x14ac:dyDescent="0.2">
      <c r="B37" s="3" t="s">
        <v>119</v>
      </c>
      <c r="C37" s="43">
        <f>PRODUCT(C30:C30)</f>
        <v>1.02</v>
      </c>
    </row>
    <row r="39" spans="2:5" ht="51" x14ac:dyDescent="0.2">
      <c r="B39" s="15" t="s">
        <v>128</v>
      </c>
      <c r="C39" s="44" t="s">
        <v>129</v>
      </c>
      <c r="D39" s="15" t="s">
        <v>120</v>
      </c>
    </row>
    <row r="40" spans="2:5" x14ac:dyDescent="0.2">
      <c r="B40" s="48" t="s">
        <v>121</v>
      </c>
      <c r="C40" s="49">
        <v>310</v>
      </c>
      <c r="D40" s="50">
        <f>C40*C33</f>
        <v>553.6911943493543</v>
      </c>
      <c r="E40" s="51" t="s">
        <v>130</v>
      </c>
    </row>
    <row r="41" spans="2:5" x14ac:dyDescent="0.2">
      <c r="B41" s="12" t="s">
        <v>122</v>
      </c>
      <c r="C41">
        <v>96</v>
      </c>
      <c r="D41" s="45">
        <f t="shared" ref="D41:D43" si="4">C41*C34</f>
        <v>127.8291897790899</v>
      </c>
    </row>
    <row r="42" spans="2:5" x14ac:dyDescent="0.2">
      <c r="B42" s="12" t="s">
        <v>123</v>
      </c>
      <c r="C42">
        <v>54</v>
      </c>
      <c r="D42" s="45">
        <f t="shared" si="4"/>
        <v>62.042437137330751</v>
      </c>
    </row>
    <row r="43" spans="2:5" x14ac:dyDescent="0.2">
      <c r="B43" s="12" t="s">
        <v>124</v>
      </c>
      <c r="C43">
        <v>30</v>
      </c>
      <c r="D43" s="45">
        <f t="shared" si="4"/>
        <v>31.681818181818176</v>
      </c>
    </row>
    <row r="44" spans="2:5" x14ac:dyDescent="0.2">
      <c r="B44" s="46" t="s">
        <v>125</v>
      </c>
      <c r="C44" s="1">
        <v>14</v>
      </c>
      <c r="D44" s="47">
        <f>C44*C37</f>
        <v>14.280000000000001</v>
      </c>
      <c r="E44" s="1"/>
    </row>
    <row r="45" spans="2:5" x14ac:dyDescent="0.2">
      <c r="B45" s="11" t="s">
        <v>10</v>
      </c>
      <c r="C45" s="60">
        <f>SUM(C40:C44)</f>
        <v>504</v>
      </c>
      <c r="D45" s="45">
        <f>SUM(D40:D44)</f>
        <v>789.52463944759313</v>
      </c>
      <c r="E45" s="36" t="s">
        <v>131</v>
      </c>
    </row>
    <row r="49" spans="9:13" x14ac:dyDescent="0.2">
      <c r="I49" s="85" t="s">
        <v>96</v>
      </c>
      <c r="J49" s="11" t="s">
        <v>133</v>
      </c>
    </row>
    <row r="50" spans="9:13" x14ac:dyDescent="0.2">
      <c r="I50" s="85"/>
      <c r="J50" s="11" t="s">
        <v>134</v>
      </c>
      <c r="K50" s="11" t="s">
        <v>135</v>
      </c>
      <c r="L50" s="15" t="s">
        <v>136</v>
      </c>
    </row>
    <row r="51" spans="9:13" x14ac:dyDescent="0.2">
      <c r="I51" s="12">
        <v>2009</v>
      </c>
      <c r="J51" s="52">
        <v>16000</v>
      </c>
      <c r="K51" s="52">
        <v>3000</v>
      </c>
      <c r="L51" s="53">
        <f>SUM(J51:K51)</f>
        <v>19000</v>
      </c>
      <c r="M51" s="36" t="s">
        <v>137</v>
      </c>
    </row>
    <row r="52" spans="9:13" x14ac:dyDescent="0.2">
      <c r="I52" s="12">
        <v>2010</v>
      </c>
      <c r="J52" s="52">
        <v>12000</v>
      </c>
      <c r="K52" s="52">
        <v>4000</v>
      </c>
      <c r="L52" s="53">
        <f t="shared" ref="L52:L54" si="5">SUM(J52:K52)</f>
        <v>16000</v>
      </c>
    </row>
    <row r="53" spans="9:13" x14ac:dyDescent="0.2">
      <c r="I53" s="12">
        <v>2011</v>
      </c>
      <c r="J53" s="52">
        <v>10000</v>
      </c>
      <c r="K53" s="52">
        <v>7000</v>
      </c>
      <c r="L53" s="53">
        <f t="shared" si="5"/>
        <v>17000</v>
      </c>
    </row>
    <row r="54" spans="9:13" x14ac:dyDescent="0.2">
      <c r="I54" s="12">
        <v>2012</v>
      </c>
      <c r="J54" s="52">
        <v>5000</v>
      </c>
      <c r="K54" s="52">
        <v>8000</v>
      </c>
      <c r="L54" s="53">
        <f t="shared" si="5"/>
        <v>13000</v>
      </c>
    </row>
    <row r="55" spans="9:13" x14ac:dyDescent="0.2">
      <c r="L55" s="3" t="s">
        <v>138</v>
      </c>
    </row>
    <row r="56" spans="9:13" x14ac:dyDescent="0.2">
      <c r="I56" s="15" t="s">
        <v>109</v>
      </c>
      <c r="J56" s="15" t="s">
        <v>140</v>
      </c>
    </row>
    <row r="57" spans="9:13" x14ac:dyDescent="0.2">
      <c r="I57" s="54" t="s">
        <v>103</v>
      </c>
      <c r="J57" s="55">
        <v>1.2</v>
      </c>
      <c r="K57" t="s">
        <v>112</v>
      </c>
    </row>
    <row r="58" spans="9:13" x14ac:dyDescent="0.2">
      <c r="I58" s="3" t="s">
        <v>104</v>
      </c>
      <c r="J58">
        <v>1.1499999999999999</v>
      </c>
      <c r="K58" t="s">
        <v>112</v>
      </c>
    </row>
    <row r="59" spans="9:13" x14ac:dyDescent="0.2">
      <c r="I59" s="3" t="s">
        <v>105</v>
      </c>
      <c r="J59" s="56" t="s">
        <v>11</v>
      </c>
      <c r="K59" s="42"/>
    </row>
    <row r="60" spans="9:13" x14ac:dyDescent="0.2">
      <c r="I60" s="3"/>
      <c r="J60" s="56"/>
      <c r="K60" s="42"/>
    </row>
    <row r="61" spans="9:13" x14ac:dyDescent="0.2">
      <c r="I61" s="3" t="s">
        <v>145</v>
      </c>
      <c r="J61" s="56"/>
      <c r="K61" s="42"/>
    </row>
    <row r="63" spans="9:13" x14ac:dyDescent="0.2">
      <c r="I63" s="15" t="s">
        <v>139</v>
      </c>
    </row>
    <row r="64" spans="9:13" x14ac:dyDescent="0.2">
      <c r="I64" s="52">
        <v>18000</v>
      </c>
      <c r="J64" s="57" t="s">
        <v>144</v>
      </c>
    </row>
    <row r="65" spans="9:23" x14ac:dyDescent="0.2">
      <c r="I65" t="s">
        <v>112</v>
      </c>
      <c r="J65" t="s">
        <v>141</v>
      </c>
      <c r="K65" s="43">
        <f>I64/L52</f>
        <v>1.125</v>
      </c>
      <c r="L65" s="3"/>
    </row>
    <row r="67" spans="9:23" x14ac:dyDescent="0.2">
      <c r="I67" s="15" t="s">
        <v>143</v>
      </c>
      <c r="J67" s="15" t="s">
        <v>142</v>
      </c>
    </row>
    <row r="68" spans="9:23" x14ac:dyDescent="0.2">
      <c r="I68" s="52">
        <v>17000</v>
      </c>
      <c r="J68" s="58">
        <f>I68*PRODUCT(J58,K65)</f>
        <v>21993.75</v>
      </c>
      <c r="K68" s="57" t="s">
        <v>146</v>
      </c>
    </row>
    <row r="69" spans="9:23" x14ac:dyDescent="0.2">
      <c r="I69" t="s">
        <v>112</v>
      </c>
      <c r="K69" s="43"/>
    </row>
    <row r="73" spans="9:23" ht="16" customHeight="1" x14ac:dyDescent="0.2"/>
    <row r="74" spans="9:23" x14ac:dyDescent="0.2">
      <c r="Q74" s="87" t="s">
        <v>149</v>
      </c>
      <c r="R74" s="87" t="s">
        <v>96</v>
      </c>
      <c r="S74" s="11" t="s">
        <v>147</v>
      </c>
    </row>
    <row r="75" spans="9:23" x14ac:dyDescent="0.2">
      <c r="Q75" s="87"/>
      <c r="R75" s="87"/>
      <c r="S75" s="11" t="s">
        <v>148</v>
      </c>
    </row>
    <row r="76" spans="9:23" x14ac:dyDescent="0.2">
      <c r="Q76" s="87"/>
      <c r="R76" s="87"/>
      <c r="S76" s="11">
        <v>12</v>
      </c>
      <c r="T76" s="11">
        <v>24</v>
      </c>
      <c r="U76" s="11">
        <v>36</v>
      </c>
      <c r="V76" s="11">
        <v>48</v>
      </c>
      <c r="W76" s="11">
        <v>60</v>
      </c>
    </row>
    <row r="77" spans="9:23" x14ac:dyDescent="0.2">
      <c r="Q77" s="33">
        <v>50000</v>
      </c>
      <c r="R77" s="12">
        <v>2010</v>
      </c>
      <c r="S77" s="12">
        <v>500</v>
      </c>
      <c r="T77" s="12">
        <v>550</v>
      </c>
      <c r="U77" s="12">
        <v>660</v>
      </c>
      <c r="V77" s="12">
        <v>660</v>
      </c>
      <c r="W77" s="12">
        <v>660</v>
      </c>
    </row>
    <row r="78" spans="9:23" x14ac:dyDescent="0.2">
      <c r="Q78" s="33">
        <v>50000</v>
      </c>
      <c r="R78" s="12">
        <v>2011</v>
      </c>
      <c r="S78" s="12">
        <v>465</v>
      </c>
      <c r="T78" s="12">
        <v>545</v>
      </c>
      <c r="U78" s="12">
        <v>645</v>
      </c>
      <c r="V78" s="12">
        <v>645</v>
      </c>
      <c r="W78" s="12"/>
    </row>
    <row r="79" spans="9:23" x14ac:dyDescent="0.2">
      <c r="Q79" s="33">
        <v>50000</v>
      </c>
      <c r="R79" s="12">
        <v>2012</v>
      </c>
      <c r="S79" s="12">
        <v>500</v>
      </c>
      <c r="T79" s="12">
        <v>540</v>
      </c>
      <c r="U79" s="12">
        <v>675</v>
      </c>
      <c r="V79" s="12"/>
      <c r="W79" s="12"/>
    </row>
    <row r="80" spans="9:23" x14ac:dyDescent="0.2">
      <c r="Q80" s="33">
        <v>50000</v>
      </c>
      <c r="R80" s="12">
        <v>2013</v>
      </c>
      <c r="S80" s="12">
        <v>500</v>
      </c>
      <c r="T80" s="12">
        <v>545</v>
      </c>
      <c r="U80" s="12"/>
      <c r="V80" s="12"/>
      <c r="W80" s="12"/>
    </row>
    <row r="81" spans="17:23" x14ac:dyDescent="0.2">
      <c r="Q81" s="33">
        <v>50000</v>
      </c>
      <c r="R81" s="12">
        <v>2014</v>
      </c>
      <c r="S81" s="12">
        <v>510</v>
      </c>
      <c r="T81" s="12"/>
      <c r="U81" s="12"/>
    </row>
    <row r="83" spans="17:23" x14ac:dyDescent="0.2">
      <c r="Q83" s="87" t="s">
        <v>149</v>
      </c>
      <c r="R83" s="87" t="s">
        <v>96</v>
      </c>
      <c r="S83" s="11" t="s">
        <v>147</v>
      </c>
    </row>
    <row r="84" spans="17:23" x14ac:dyDescent="0.2">
      <c r="Q84" s="87"/>
      <c r="R84" s="87"/>
      <c r="S84" s="11" t="s">
        <v>150</v>
      </c>
    </row>
    <row r="85" spans="17:23" x14ac:dyDescent="0.2">
      <c r="Q85" s="87"/>
      <c r="R85" s="87"/>
      <c r="S85" s="39" t="s">
        <v>103</v>
      </c>
      <c r="T85" s="40" t="s">
        <v>104</v>
      </c>
      <c r="U85" s="40" t="s">
        <v>105</v>
      </c>
      <c r="V85" s="40" t="s">
        <v>106</v>
      </c>
      <c r="W85" s="11"/>
    </row>
    <row r="86" spans="17:23" x14ac:dyDescent="0.2">
      <c r="Q86" s="33">
        <v>50000</v>
      </c>
      <c r="R86" s="12">
        <v>2010</v>
      </c>
      <c r="S86" s="41">
        <f>T77/S77</f>
        <v>1.1000000000000001</v>
      </c>
      <c r="T86" s="41">
        <f t="shared" ref="T86:V86" si="6">U77/T77</f>
        <v>1.2</v>
      </c>
      <c r="U86" s="41">
        <f t="shared" si="6"/>
        <v>1</v>
      </c>
      <c r="V86" s="41">
        <f t="shared" si="6"/>
        <v>1</v>
      </c>
      <c r="W86" s="12"/>
    </row>
    <row r="87" spans="17:23" x14ac:dyDescent="0.2">
      <c r="Q87" s="33">
        <v>50000</v>
      </c>
      <c r="R87" s="12">
        <v>2011</v>
      </c>
      <c r="S87" s="41">
        <f t="shared" ref="S87:U89" si="7">T78/S78</f>
        <v>1.1720430107526882</v>
      </c>
      <c r="T87" s="41">
        <f t="shared" si="7"/>
        <v>1.1834862385321101</v>
      </c>
      <c r="U87" s="41">
        <f t="shared" si="7"/>
        <v>1</v>
      </c>
      <c r="V87" s="35"/>
      <c r="W87" s="12"/>
    </row>
    <row r="88" spans="17:23" x14ac:dyDescent="0.2">
      <c r="Q88" s="33">
        <v>50000</v>
      </c>
      <c r="R88" s="12">
        <v>2012</v>
      </c>
      <c r="S88" s="41">
        <f t="shared" si="7"/>
        <v>1.08</v>
      </c>
      <c r="T88" s="41">
        <f t="shared" si="7"/>
        <v>1.25</v>
      </c>
      <c r="U88" s="59"/>
      <c r="V88" s="35"/>
      <c r="W88" s="12"/>
    </row>
    <row r="89" spans="17:23" x14ac:dyDescent="0.2">
      <c r="Q89" s="33">
        <v>50000</v>
      </c>
      <c r="R89" s="12">
        <v>2013</v>
      </c>
      <c r="S89" s="41">
        <f t="shared" si="7"/>
        <v>1.0900000000000001</v>
      </c>
      <c r="T89" s="41"/>
      <c r="U89" s="35"/>
      <c r="V89" s="35"/>
      <c r="W89" s="12"/>
    </row>
    <row r="90" spans="17:23" x14ac:dyDescent="0.2">
      <c r="Q90" s="33"/>
      <c r="R90" s="12"/>
      <c r="S90" s="12"/>
      <c r="T90" s="12"/>
      <c r="U90" s="12"/>
    </row>
    <row r="91" spans="17:23" x14ac:dyDescent="0.2">
      <c r="Q91" s="15" t="s">
        <v>109</v>
      </c>
      <c r="R91" s="15" t="s">
        <v>151</v>
      </c>
    </row>
    <row r="92" spans="17:23" x14ac:dyDescent="0.2">
      <c r="Q92" s="39" t="s">
        <v>103</v>
      </c>
      <c r="R92" s="43">
        <f>AVERAGE(S86,S89)</f>
        <v>1.0950000000000002</v>
      </c>
    </row>
    <row r="93" spans="17:23" x14ac:dyDescent="0.2">
      <c r="Q93" s="40" t="s">
        <v>104</v>
      </c>
      <c r="R93" s="43">
        <f>AVERAGE(T86)</f>
        <v>1.2</v>
      </c>
    </row>
    <row r="94" spans="17:23" x14ac:dyDescent="0.2">
      <c r="Q94" s="40" t="s">
        <v>105</v>
      </c>
      <c r="R94" s="43">
        <f>AVERAGE(U86:U87)</f>
        <v>1</v>
      </c>
    </row>
    <row r="95" spans="17:23" x14ac:dyDescent="0.2">
      <c r="Q95" s="40" t="s">
        <v>106</v>
      </c>
      <c r="R95" s="43">
        <f>AVERAGE(V86)</f>
        <v>1</v>
      </c>
    </row>
    <row r="97" spans="17:22" x14ac:dyDescent="0.2">
      <c r="Q97" s="11" t="s">
        <v>152</v>
      </c>
      <c r="R97" s="15" t="s">
        <v>108</v>
      </c>
    </row>
    <row r="98" spans="17:22" x14ac:dyDescent="0.2">
      <c r="Q98" s="39" t="s">
        <v>103</v>
      </c>
      <c r="R98" s="43">
        <f>PRODUCT(R92:R95)</f>
        <v>1.3140000000000003</v>
      </c>
      <c r="S98" s="36" t="s">
        <v>153</v>
      </c>
    </row>
    <row r="99" spans="17:22" x14ac:dyDescent="0.2">
      <c r="Q99" s="40" t="s">
        <v>104</v>
      </c>
      <c r="R99" s="43">
        <f>PRODUCT(R93:R95)</f>
        <v>1.2</v>
      </c>
    </row>
    <row r="100" spans="17:22" x14ac:dyDescent="0.2">
      <c r="Q100" s="40" t="s">
        <v>105</v>
      </c>
      <c r="R100" s="43">
        <f>PRODUCT(R94:R95)</f>
        <v>1</v>
      </c>
    </row>
    <row r="101" spans="17:22" x14ac:dyDescent="0.2">
      <c r="Q101" s="40" t="s">
        <v>106</v>
      </c>
      <c r="R101" s="43">
        <f>PRODUCT(R95)</f>
        <v>1</v>
      </c>
    </row>
    <row r="103" spans="17:22" x14ac:dyDescent="0.2">
      <c r="Q103" s="15" t="s">
        <v>128</v>
      </c>
      <c r="R103" s="15" t="s">
        <v>167</v>
      </c>
      <c r="S103" s="15" t="s">
        <v>154</v>
      </c>
    </row>
    <row r="104" spans="17:22" x14ac:dyDescent="0.2">
      <c r="Q104" s="12" t="s">
        <v>121</v>
      </c>
      <c r="R104">
        <v>510</v>
      </c>
      <c r="S104" s="45">
        <f>R104*R98</f>
        <v>670.1400000000001</v>
      </c>
      <c r="T104" s="36" t="s">
        <v>155</v>
      </c>
    </row>
    <row r="105" spans="17:22" x14ac:dyDescent="0.2">
      <c r="Q105" s="12" t="s">
        <v>122</v>
      </c>
      <c r="R105">
        <v>545</v>
      </c>
      <c r="S105" s="45">
        <f t="shared" ref="S105:S107" si="8">R105*R99</f>
        <v>654</v>
      </c>
    </row>
    <row r="106" spans="17:22" x14ac:dyDescent="0.2">
      <c r="Q106" s="12" t="s">
        <v>123</v>
      </c>
      <c r="R106">
        <v>675</v>
      </c>
      <c r="S106" s="45">
        <f t="shared" si="8"/>
        <v>675</v>
      </c>
    </row>
    <row r="107" spans="17:22" x14ac:dyDescent="0.2">
      <c r="Q107" s="12" t="s">
        <v>124</v>
      </c>
      <c r="R107">
        <v>645</v>
      </c>
      <c r="S107" s="45">
        <f t="shared" si="8"/>
        <v>645</v>
      </c>
    </row>
    <row r="108" spans="17:22" x14ac:dyDescent="0.2">
      <c r="Q108" s="46" t="s">
        <v>125</v>
      </c>
      <c r="R108" s="1">
        <v>660</v>
      </c>
      <c r="S108" s="47">
        <f>R108</f>
        <v>660</v>
      </c>
    </row>
    <row r="109" spans="17:22" x14ac:dyDescent="0.2">
      <c r="Q109" s="11" t="s">
        <v>10</v>
      </c>
      <c r="R109" s="60">
        <f>SUM(R104:R108)</f>
        <v>3035</v>
      </c>
      <c r="S109" s="45">
        <f>SUM(S104:S108)</f>
        <v>3304.1400000000003</v>
      </c>
      <c r="T109" s="3" t="s">
        <v>156</v>
      </c>
      <c r="U109" s="61">
        <f>S109-R109</f>
        <v>269.14000000000033</v>
      </c>
      <c r="V109" s="36" t="s">
        <v>157</v>
      </c>
    </row>
    <row r="116" spans="25:29" x14ac:dyDescent="0.2">
      <c r="Y116" s="88" t="s">
        <v>158</v>
      </c>
      <c r="Z116" s="88"/>
      <c r="AA116" s="88"/>
      <c r="AB116" s="88"/>
      <c r="AC116" s="88"/>
    </row>
    <row r="117" spans="25:29" x14ac:dyDescent="0.2">
      <c r="Y117" s="85" t="s">
        <v>96</v>
      </c>
      <c r="Z117" s="11" t="s">
        <v>84</v>
      </c>
    </row>
    <row r="118" spans="25:29" x14ac:dyDescent="0.2">
      <c r="Y118" s="85"/>
      <c r="Z118" s="11">
        <v>12</v>
      </c>
      <c r="AA118" s="11">
        <v>24</v>
      </c>
      <c r="AB118" s="11">
        <v>36</v>
      </c>
      <c r="AC118" s="11">
        <v>48</v>
      </c>
    </row>
    <row r="119" spans="25:29" x14ac:dyDescent="0.2">
      <c r="Y119" s="12">
        <v>2012</v>
      </c>
      <c r="Z119" s="12">
        <v>850</v>
      </c>
      <c r="AA119" s="12">
        <v>950</v>
      </c>
      <c r="AB119" s="33">
        <v>1950</v>
      </c>
      <c r="AC119" s="33">
        <v>2450</v>
      </c>
    </row>
    <row r="120" spans="25:29" x14ac:dyDescent="0.2">
      <c r="Y120" s="12">
        <v>2013</v>
      </c>
      <c r="Z120" s="12">
        <v>700</v>
      </c>
      <c r="AA120" s="33">
        <v>2200</v>
      </c>
      <c r="AB120" s="33">
        <v>3300</v>
      </c>
      <c r="AC120" s="12"/>
    </row>
    <row r="121" spans="25:29" x14ac:dyDescent="0.2">
      <c r="Y121" s="12">
        <v>2014</v>
      </c>
      <c r="Z121" s="12">
        <v>900</v>
      </c>
      <c r="AA121" s="33">
        <v>1600</v>
      </c>
      <c r="AB121" s="12"/>
      <c r="AC121" s="12"/>
    </row>
    <row r="122" spans="25:29" x14ac:dyDescent="0.2">
      <c r="Y122" s="12">
        <v>2015</v>
      </c>
      <c r="Z122" s="33">
        <v>1000</v>
      </c>
      <c r="AA122" s="12"/>
      <c r="AB122" s="12"/>
    </row>
    <row r="124" spans="25:29" x14ac:dyDescent="0.2">
      <c r="Y124" s="85" t="s">
        <v>96</v>
      </c>
      <c r="Z124" s="11" t="s">
        <v>159</v>
      </c>
    </row>
    <row r="125" spans="25:29" x14ac:dyDescent="0.2">
      <c r="Y125" s="85"/>
      <c r="Z125" s="40" t="s">
        <v>103</v>
      </c>
      <c r="AA125" s="40" t="s">
        <v>104</v>
      </c>
      <c r="AB125" s="40" t="s">
        <v>105</v>
      </c>
      <c r="AC125" s="11"/>
    </row>
    <row r="126" spans="25:29" x14ac:dyDescent="0.2">
      <c r="Y126" s="12">
        <v>2012</v>
      </c>
      <c r="Z126" s="41">
        <f>AA119/Z119</f>
        <v>1.1176470588235294</v>
      </c>
      <c r="AA126" s="41">
        <f t="shared" ref="AA126:AB127" si="9">AB119/AA119</f>
        <v>2.0526315789473686</v>
      </c>
      <c r="AB126" s="41">
        <f t="shared" si="9"/>
        <v>1.2564102564102564</v>
      </c>
      <c r="AC126" s="33"/>
    </row>
    <row r="127" spans="25:29" x14ac:dyDescent="0.2">
      <c r="Y127" s="12">
        <v>2013</v>
      </c>
      <c r="Z127" s="41">
        <f t="shared" ref="Z127:Z128" si="10">AA120/Z120</f>
        <v>3.1428571428571428</v>
      </c>
      <c r="AA127" s="41">
        <f t="shared" si="9"/>
        <v>1.5</v>
      </c>
      <c r="AB127" s="41"/>
      <c r="AC127" s="12"/>
    </row>
    <row r="128" spans="25:29" x14ac:dyDescent="0.2">
      <c r="Y128" s="12">
        <v>2014</v>
      </c>
      <c r="Z128" s="41">
        <f t="shared" si="10"/>
        <v>1.7777777777777777</v>
      </c>
      <c r="AA128" s="41"/>
      <c r="AB128" s="41"/>
      <c r="AC128" s="12"/>
    </row>
    <row r="129" spans="25:29" x14ac:dyDescent="0.2">
      <c r="Y129" s="12"/>
      <c r="Z129" s="33"/>
      <c r="AA129" s="12"/>
      <c r="AB129" s="12"/>
    </row>
    <row r="130" spans="25:29" x14ac:dyDescent="0.2">
      <c r="Y130" s="15" t="s">
        <v>109</v>
      </c>
      <c r="Z130" s="15" t="s">
        <v>160</v>
      </c>
    </row>
    <row r="131" spans="25:29" x14ac:dyDescent="0.2">
      <c r="Y131" s="62" t="s">
        <v>103</v>
      </c>
      <c r="Z131" s="43">
        <f>AVERAGE(Z126:Z128)</f>
        <v>2.0127606598194832</v>
      </c>
      <c r="AA131" s="36" t="s">
        <v>161</v>
      </c>
      <c r="AC131" s="36" t="s">
        <v>171</v>
      </c>
    </row>
    <row r="132" spans="25:29" x14ac:dyDescent="0.2">
      <c r="Y132" s="62" t="s">
        <v>104</v>
      </c>
      <c r="Z132" s="43">
        <f>AVERAGE(AA126:AA127)</f>
        <v>1.7763157894736843</v>
      </c>
      <c r="AA132" s="36" t="s">
        <v>170</v>
      </c>
    </row>
    <row r="133" spans="25:29" x14ac:dyDescent="0.2">
      <c r="Y133" s="62" t="s">
        <v>105</v>
      </c>
      <c r="Z133" s="43">
        <f>AVERAGE(AB126)</f>
        <v>1.2564102564102564</v>
      </c>
    </row>
    <row r="135" spans="25:29" x14ac:dyDescent="0.2">
      <c r="Y135" s="11" t="s">
        <v>152</v>
      </c>
      <c r="Z135" s="15" t="s">
        <v>165</v>
      </c>
    </row>
    <row r="136" spans="25:29" x14ac:dyDescent="0.2">
      <c r="Y136" s="12" t="s">
        <v>162</v>
      </c>
      <c r="Z136" s="43">
        <f>PRODUCT(Z131:Z133)</f>
        <v>4.4920417559736441</v>
      </c>
      <c r="AA136" s="36" t="s">
        <v>166</v>
      </c>
    </row>
    <row r="137" spans="25:29" x14ac:dyDescent="0.2">
      <c r="Y137" t="s">
        <v>163</v>
      </c>
      <c r="Z137" s="43">
        <f>PRODUCT(Z132:Z133)</f>
        <v>2.2317813765182186</v>
      </c>
    </row>
    <row r="138" spans="25:29" x14ac:dyDescent="0.2">
      <c r="Y138" t="s">
        <v>164</v>
      </c>
      <c r="Z138" s="43">
        <f>PRODUCT(Z133)</f>
        <v>1.2564102564102564</v>
      </c>
    </row>
    <row r="140" spans="25:29" x14ac:dyDescent="0.2">
      <c r="Y140" s="15" t="s">
        <v>128</v>
      </c>
      <c r="Z140" s="15" t="s">
        <v>168</v>
      </c>
      <c r="AA140" t="s">
        <v>154</v>
      </c>
    </row>
    <row r="141" spans="25:29" x14ac:dyDescent="0.2">
      <c r="Y141">
        <v>12</v>
      </c>
      <c r="Z141">
        <v>1000</v>
      </c>
      <c r="AA141" s="50">
        <f t="shared" ref="AA141:AA142" si="11">Z141*Z136</f>
        <v>4492.0417559736443</v>
      </c>
      <c r="AB141" s="36" t="s">
        <v>169</v>
      </c>
    </row>
    <row r="142" spans="25:29" x14ac:dyDescent="0.2">
      <c r="Y142">
        <v>24</v>
      </c>
      <c r="Z142">
        <v>1600</v>
      </c>
      <c r="AA142" s="45">
        <f t="shared" si="11"/>
        <v>3570.8502024291497</v>
      </c>
    </row>
    <row r="143" spans="25:29" x14ac:dyDescent="0.2">
      <c r="Y143">
        <v>36</v>
      </c>
      <c r="Z143">
        <v>3300</v>
      </c>
      <c r="AA143" s="45">
        <f>Z143*Z138</f>
        <v>4146.1538461538457</v>
      </c>
    </row>
    <row r="144" spans="25:29" x14ac:dyDescent="0.2">
      <c r="Y144" s="1">
        <v>48</v>
      </c>
      <c r="Z144" s="1">
        <v>2450</v>
      </c>
      <c r="AA144" s="47">
        <f>Z144</f>
        <v>2450</v>
      </c>
    </row>
    <row r="145" spans="25:28" x14ac:dyDescent="0.2">
      <c r="Y145" s="11" t="s">
        <v>10</v>
      </c>
      <c r="Z145" s="60">
        <f>SUM(Z141:Z144)</f>
        <v>8350</v>
      </c>
      <c r="AA145" s="45">
        <f>SUM(AA141:AA144)</f>
        <v>14659.045804556639</v>
      </c>
    </row>
    <row r="148" spans="25:28" x14ac:dyDescent="0.2">
      <c r="Y148" s="3"/>
    </row>
    <row r="150" spans="25:28" x14ac:dyDescent="0.2">
      <c r="Y150" s="82" t="s">
        <v>173</v>
      </c>
      <c r="Z150" s="82"/>
      <c r="AA150" s="82"/>
      <c r="AB150" s="82"/>
    </row>
    <row r="151" spans="25:28" x14ac:dyDescent="0.2">
      <c r="Y151" s="86" t="s">
        <v>96</v>
      </c>
      <c r="Z151" s="11" t="s">
        <v>172</v>
      </c>
    </row>
    <row r="152" spans="25:28" x14ac:dyDescent="0.2">
      <c r="Y152" s="86"/>
      <c r="Z152" s="40" t="s">
        <v>103</v>
      </c>
      <c r="AA152" s="40" t="s">
        <v>104</v>
      </c>
      <c r="AB152" s="40" t="s">
        <v>105</v>
      </c>
    </row>
    <row r="153" spans="25:28" x14ac:dyDescent="0.2">
      <c r="Y153" s="12">
        <v>2012</v>
      </c>
      <c r="Z153" s="12">
        <v>1.97</v>
      </c>
      <c r="AA153" s="12">
        <v>1.24</v>
      </c>
      <c r="AB153" s="12">
        <v>1.1000000000000001</v>
      </c>
    </row>
    <row r="154" spans="25:28" x14ac:dyDescent="0.2">
      <c r="Y154" s="12">
        <v>2013</v>
      </c>
      <c r="Z154" s="12">
        <v>2.0299999999999998</v>
      </c>
      <c r="AA154" s="12">
        <v>1.27</v>
      </c>
      <c r="AB154" s="12"/>
    </row>
    <row r="155" spans="25:28" x14ac:dyDescent="0.2">
      <c r="Y155" s="12">
        <v>2014</v>
      </c>
      <c r="Z155" s="12">
        <v>2.0299999999999998</v>
      </c>
      <c r="AA155" s="12"/>
    </row>
    <row r="157" spans="25:28" x14ac:dyDescent="0.2">
      <c r="Y157" s="15" t="s">
        <v>109</v>
      </c>
      <c r="Z157" s="15" t="s">
        <v>160</v>
      </c>
    </row>
    <row r="158" spans="25:28" x14ac:dyDescent="0.2">
      <c r="Y158" s="62" t="s">
        <v>103</v>
      </c>
      <c r="Z158" s="43">
        <f>AVERAGE(Z153:Z155)</f>
        <v>2.0099999999999998</v>
      </c>
      <c r="AA158" s="36" t="s">
        <v>176</v>
      </c>
    </row>
    <row r="159" spans="25:28" x14ac:dyDescent="0.2">
      <c r="Y159" s="62" t="s">
        <v>104</v>
      </c>
      <c r="Z159" s="43">
        <f>AVERAGE(AA153:AA154)</f>
        <v>1.2549999999999999</v>
      </c>
    </row>
    <row r="160" spans="25:28" x14ac:dyDescent="0.2">
      <c r="Y160" s="62" t="s">
        <v>105</v>
      </c>
      <c r="Z160" s="43">
        <f>AVERAGE(AB153)</f>
        <v>1.1000000000000001</v>
      </c>
    </row>
    <row r="162" spans="25:28" x14ac:dyDescent="0.2">
      <c r="Y162" s="11" t="s">
        <v>152</v>
      </c>
      <c r="Z162" s="15" t="s">
        <v>165</v>
      </c>
    </row>
    <row r="163" spans="25:28" x14ac:dyDescent="0.2">
      <c r="Y163" s="12" t="s">
        <v>162</v>
      </c>
      <c r="Z163" s="43">
        <f>PRODUCT(Z158:Z160)</f>
        <v>2.7748049999999997</v>
      </c>
      <c r="AA163" s="36" t="s">
        <v>174</v>
      </c>
    </row>
    <row r="164" spans="25:28" x14ac:dyDescent="0.2">
      <c r="Y164" t="s">
        <v>163</v>
      </c>
      <c r="Z164" s="43">
        <f>PRODUCT(Z159:Z160)</f>
        <v>1.3805000000000001</v>
      </c>
    </row>
    <row r="165" spans="25:28" x14ac:dyDescent="0.2">
      <c r="Y165" t="s">
        <v>164</v>
      </c>
      <c r="Z165" s="43">
        <f>PRODUCT(Z160)</f>
        <v>1.1000000000000001</v>
      </c>
    </row>
    <row r="167" spans="25:28" x14ac:dyDescent="0.2">
      <c r="Y167" s="15" t="s">
        <v>128</v>
      </c>
      <c r="Z167" s="15" t="s">
        <v>168</v>
      </c>
      <c r="AA167" t="s">
        <v>154</v>
      </c>
    </row>
    <row r="168" spans="25:28" x14ac:dyDescent="0.2">
      <c r="Y168">
        <v>12</v>
      </c>
      <c r="Z168">
        <v>1000</v>
      </c>
      <c r="AA168" s="50">
        <f>Z168*Z163</f>
        <v>2774.8049999999998</v>
      </c>
      <c r="AB168" s="36" t="s">
        <v>175</v>
      </c>
    </row>
    <row r="169" spans="25:28" x14ac:dyDescent="0.2">
      <c r="Y169">
        <v>24</v>
      </c>
      <c r="Z169">
        <v>1600</v>
      </c>
      <c r="AA169" s="45">
        <f t="shared" ref="AA169" si="12">Z169*Z164</f>
        <v>2208.8000000000002</v>
      </c>
    </row>
    <row r="170" spans="25:28" x14ac:dyDescent="0.2">
      <c r="Y170">
        <v>36</v>
      </c>
      <c r="Z170">
        <v>3300</v>
      </c>
      <c r="AA170" s="45">
        <f>Z170*Z165</f>
        <v>3630.0000000000005</v>
      </c>
    </row>
    <row r="171" spans="25:28" x14ac:dyDescent="0.2">
      <c r="Y171" s="1">
        <v>48</v>
      </c>
      <c r="Z171" s="1">
        <v>2450</v>
      </c>
      <c r="AA171" s="47">
        <f>Z171</f>
        <v>2450</v>
      </c>
    </row>
    <row r="172" spans="25:28" x14ac:dyDescent="0.2">
      <c r="Y172" s="11" t="s">
        <v>10</v>
      </c>
      <c r="Z172" s="60">
        <f>SUM(Z168:Z171)</f>
        <v>8350</v>
      </c>
      <c r="AA172" s="45">
        <f>SUM(AA168:AA171)</f>
        <v>11063.605</v>
      </c>
    </row>
  </sheetData>
  <mergeCells count="13">
    <mergeCell ref="Y151:Y152"/>
    <mergeCell ref="Y150:AB150"/>
    <mergeCell ref="R74:R76"/>
    <mergeCell ref="Q74:Q76"/>
    <mergeCell ref="Q83:Q85"/>
    <mergeCell ref="R83:R85"/>
    <mergeCell ref="Y117:Y118"/>
    <mergeCell ref="Y116:AC116"/>
    <mergeCell ref="B3:B4"/>
    <mergeCell ref="B18:B19"/>
    <mergeCell ref="B11:B12"/>
    <mergeCell ref="I49:I50"/>
    <mergeCell ref="Y124:Y12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ABBE1-93F4-6A42-86E6-4D91298C2F20}">
  <dimension ref="B2:E19"/>
  <sheetViews>
    <sheetView workbookViewId="0">
      <selection activeCell="K27" sqref="K27"/>
    </sheetView>
  </sheetViews>
  <sheetFormatPr baseColWidth="10" defaultRowHeight="16" x14ac:dyDescent="0.2"/>
  <cols>
    <col min="3" max="3" width="29.6640625" customWidth="1"/>
  </cols>
  <sheetData>
    <row r="2" spans="2:5" x14ac:dyDescent="0.2">
      <c r="B2" t="s">
        <v>180</v>
      </c>
      <c r="C2" s="63">
        <v>50000</v>
      </c>
      <c r="D2" t="s">
        <v>183</v>
      </c>
      <c r="E2" s="63">
        <v>100000</v>
      </c>
    </row>
    <row r="3" spans="2:5" x14ac:dyDescent="0.2">
      <c r="B3" t="s">
        <v>182</v>
      </c>
      <c r="C3" s="19">
        <v>0.1</v>
      </c>
    </row>
    <row r="5" spans="2:5" x14ac:dyDescent="0.2">
      <c r="B5" s="11" t="s">
        <v>177</v>
      </c>
      <c r="C5" s="11" t="s">
        <v>178</v>
      </c>
      <c r="D5" s="15" t="s">
        <v>179</v>
      </c>
    </row>
    <row r="6" spans="2:5" x14ac:dyDescent="0.2">
      <c r="B6" s="12">
        <v>1</v>
      </c>
      <c r="C6" s="52">
        <v>75000</v>
      </c>
      <c r="D6" s="53">
        <f t="shared" ref="D6:D8" si="0">IF(C6&gt;$E$2,MIN(C6-$E$2,$C$2),0)</f>
        <v>0</v>
      </c>
      <c r="E6" s="36" t="s">
        <v>184</v>
      </c>
    </row>
    <row r="7" spans="2:5" x14ac:dyDescent="0.2">
      <c r="B7" s="12">
        <v>2</v>
      </c>
      <c r="C7" s="52">
        <v>100000</v>
      </c>
      <c r="D7" s="53">
        <f t="shared" si="0"/>
        <v>0</v>
      </c>
    </row>
    <row r="8" spans="2:5" x14ac:dyDescent="0.2">
      <c r="B8" s="12">
        <v>3</v>
      </c>
      <c r="C8" s="52">
        <v>125000</v>
      </c>
      <c r="D8" s="53">
        <f t="shared" si="0"/>
        <v>25000</v>
      </c>
    </row>
    <row r="9" spans="2:5" x14ac:dyDescent="0.2">
      <c r="B9" s="46">
        <v>4</v>
      </c>
      <c r="C9" s="64">
        <v>150000</v>
      </c>
      <c r="D9" s="67">
        <f>IF(C9&gt;$E$2,MIN(C9-$E$2,$C$2),0)</f>
        <v>50000</v>
      </c>
    </row>
    <row r="10" spans="2:5" x14ac:dyDescent="0.2">
      <c r="B10" s="15" t="s">
        <v>10</v>
      </c>
      <c r="C10" s="53">
        <f>SUM(C6:C9)</f>
        <v>450000</v>
      </c>
      <c r="D10" s="53">
        <f>SUM(D6:D9)</f>
        <v>75000</v>
      </c>
    </row>
    <row r="12" spans="2:5" x14ac:dyDescent="0.2">
      <c r="B12" s="11" t="s">
        <v>177</v>
      </c>
      <c r="C12" s="11" t="s">
        <v>181</v>
      </c>
      <c r="D12" s="15" t="s">
        <v>179</v>
      </c>
    </row>
    <row r="13" spans="2:5" x14ac:dyDescent="0.2">
      <c r="B13" s="12">
        <v>1</v>
      </c>
      <c r="C13" s="68">
        <f>C6*(1+$C$3)</f>
        <v>82500</v>
      </c>
      <c r="D13" s="53">
        <f t="shared" ref="D13:D15" si="1">IF(C13&gt;$E$2,MIN(C13-$E$2,$C$2),0)</f>
        <v>0</v>
      </c>
    </row>
    <row r="14" spans="2:5" x14ac:dyDescent="0.2">
      <c r="B14" s="12">
        <v>2</v>
      </c>
      <c r="C14" s="68">
        <f t="shared" ref="C14:C15" si="2">C7*(1+$C$3)</f>
        <v>110000.00000000001</v>
      </c>
      <c r="D14" s="53">
        <f t="shared" si="1"/>
        <v>10000.000000000015</v>
      </c>
    </row>
    <row r="15" spans="2:5" x14ac:dyDescent="0.2">
      <c r="B15" s="12">
        <v>3</v>
      </c>
      <c r="C15" s="68">
        <f t="shared" si="2"/>
        <v>137500</v>
      </c>
      <c r="D15" s="53">
        <f t="shared" si="1"/>
        <v>37500</v>
      </c>
    </row>
    <row r="16" spans="2:5" x14ac:dyDescent="0.2">
      <c r="B16" s="46">
        <v>4</v>
      </c>
      <c r="C16" s="69">
        <f>C9*(1+$C$3)</f>
        <v>165000</v>
      </c>
      <c r="D16" s="67">
        <f>IF(C16&gt;$E$2,MIN(C16-$E$2,$C$2),0)</f>
        <v>50000</v>
      </c>
    </row>
    <row r="17" spans="2:5" x14ac:dyDescent="0.2">
      <c r="B17" s="15" t="s">
        <v>10</v>
      </c>
      <c r="C17" s="53">
        <f>SUM(C13:C16)</f>
        <v>495000</v>
      </c>
      <c r="D17" s="53">
        <f>SUM(D13:D16)</f>
        <v>97500.000000000015</v>
      </c>
    </row>
    <row r="19" spans="2:5" ht="17" x14ac:dyDescent="0.2">
      <c r="C19" s="65" t="s">
        <v>186</v>
      </c>
      <c r="D19" s="66">
        <f>D17/D10-1</f>
        <v>0.30000000000000027</v>
      </c>
      <c r="E19" s="36" t="s">
        <v>185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ACF41-794C-7C44-8041-B413283265E7}">
  <dimension ref="B2:AP74"/>
  <sheetViews>
    <sheetView tabSelected="1" topLeftCell="AE48" zoomScale="94" workbookViewId="0">
      <selection activeCell="AU83" sqref="AU83"/>
    </sheetView>
  </sheetViews>
  <sheetFormatPr baseColWidth="10" defaultRowHeight="16" x14ac:dyDescent="0.2"/>
  <cols>
    <col min="2" max="2" width="37.83203125" bestFit="1" customWidth="1"/>
    <col min="8" max="8" width="37.83203125" bestFit="1" customWidth="1"/>
    <col min="9" max="9" width="10.83203125" bestFit="1" customWidth="1"/>
    <col min="10" max="11" width="25.83203125" bestFit="1" customWidth="1"/>
    <col min="17" max="17" width="60" bestFit="1" customWidth="1"/>
    <col min="18" max="19" width="11.33203125" bestFit="1" customWidth="1"/>
    <col min="21" max="21" width="25.33203125" bestFit="1" customWidth="1"/>
    <col min="22" max="22" width="26.83203125" bestFit="1" customWidth="1"/>
    <col min="23" max="23" width="13.33203125" bestFit="1" customWidth="1"/>
    <col min="24" max="24" width="18.33203125" bestFit="1" customWidth="1"/>
    <col min="25" max="25" width="31.83203125" bestFit="1" customWidth="1"/>
    <col min="31" max="31" width="29.1640625" bestFit="1" customWidth="1"/>
    <col min="32" max="32" width="28" bestFit="1" customWidth="1"/>
    <col min="36" max="36" width="32" customWidth="1"/>
    <col min="37" max="37" width="18.33203125" bestFit="1" customWidth="1"/>
    <col min="38" max="38" width="18.6640625" bestFit="1" customWidth="1"/>
    <col min="39" max="39" width="12.5" bestFit="1" customWidth="1"/>
    <col min="40" max="40" width="13" customWidth="1"/>
  </cols>
  <sheetData>
    <row r="2" spans="2:11" x14ac:dyDescent="0.2">
      <c r="B2" s="83"/>
      <c r="C2" s="92" t="s">
        <v>187</v>
      </c>
      <c r="D2" s="92"/>
      <c r="E2" s="92"/>
    </row>
    <row r="3" spans="2:11" x14ac:dyDescent="0.2">
      <c r="B3" s="83"/>
      <c r="C3" s="89">
        <v>2021</v>
      </c>
      <c r="D3" s="89">
        <v>2022</v>
      </c>
      <c r="E3" s="89">
        <v>2023</v>
      </c>
    </row>
    <row r="4" spans="2:11" x14ac:dyDescent="0.2">
      <c r="B4" s="90" t="s">
        <v>188</v>
      </c>
      <c r="C4" s="91">
        <v>10000</v>
      </c>
      <c r="D4" s="91">
        <v>11100</v>
      </c>
      <c r="E4" s="91">
        <v>10500</v>
      </c>
    </row>
    <row r="5" spans="2:11" x14ac:dyDescent="0.2">
      <c r="B5" s="90" t="s">
        <v>189</v>
      </c>
      <c r="C5" s="91">
        <v>900</v>
      </c>
      <c r="D5" s="91">
        <v>888</v>
      </c>
      <c r="E5" s="91">
        <v>965</v>
      </c>
    </row>
    <row r="6" spans="2:11" x14ac:dyDescent="0.2">
      <c r="B6" s="90" t="s">
        <v>190</v>
      </c>
      <c r="C6" s="91">
        <v>9000</v>
      </c>
      <c r="D6" s="91">
        <v>2850</v>
      </c>
      <c r="E6" s="91">
        <v>3000</v>
      </c>
    </row>
    <row r="7" spans="2:11" x14ac:dyDescent="0.2">
      <c r="B7" s="90" t="s">
        <v>191</v>
      </c>
      <c r="C7" s="91">
        <v>40800</v>
      </c>
      <c r="D7" s="91">
        <v>36500</v>
      </c>
      <c r="E7" s="91">
        <v>32200</v>
      </c>
    </row>
    <row r="8" spans="2:11" x14ac:dyDescent="0.2">
      <c r="B8" s="90" t="s">
        <v>192</v>
      </c>
      <c r="C8" s="91">
        <v>32000</v>
      </c>
      <c r="D8" s="91">
        <v>33500</v>
      </c>
      <c r="E8" s="91">
        <v>37000</v>
      </c>
    </row>
    <row r="9" spans="2:11" x14ac:dyDescent="0.2">
      <c r="B9" s="90" t="s">
        <v>193</v>
      </c>
      <c r="C9" s="91">
        <v>33000</v>
      </c>
      <c r="D9" s="91">
        <v>36000</v>
      </c>
      <c r="E9" s="91">
        <v>38500</v>
      </c>
    </row>
    <row r="10" spans="2:11" x14ac:dyDescent="0.2">
      <c r="B10" s="90" t="s">
        <v>194</v>
      </c>
      <c r="C10" s="91">
        <v>500500</v>
      </c>
      <c r="D10" s="91">
        <v>513000</v>
      </c>
      <c r="E10" s="91">
        <v>518500</v>
      </c>
    </row>
    <row r="11" spans="2:11" x14ac:dyDescent="0.2">
      <c r="B11" s="90" t="s">
        <v>195</v>
      </c>
      <c r="C11" s="91">
        <v>545000</v>
      </c>
      <c r="D11" s="91">
        <v>560000</v>
      </c>
      <c r="E11" s="91">
        <v>565000</v>
      </c>
    </row>
    <row r="13" spans="2:11" x14ac:dyDescent="0.2">
      <c r="B13" s="83"/>
      <c r="C13" s="92" t="s">
        <v>187</v>
      </c>
      <c r="D13" s="92"/>
      <c r="E13" s="92"/>
      <c r="H13" s="15" t="s">
        <v>208</v>
      </c>
    </row>
    <row r="14" spans="2:11" x14ac:dyDescent="0.2">
      <c r="B14" s="83"/>
      <c r="C14" s="89">
        <v>2021</v>
      </c>
      <c r="D14" s="89">
        <v>2022</v>
      </c>
      <c r="E14" s="89">
        <v>2023</v>
      </c>
      <c r="H14" s="89"/>
      <c r="I14" s="94" t="s">
        <v>197</v>
      </c>
      <c r="J14" s="94" t="s">
        <v>198</v>
      </c>
      <c r="K14" s="94" t="s">
        <v>199</v>
      </c>
    </row>
    <row r="15" spans="2:11" x14ac:dyDescent="0.2">
      <c r="B15" s="90" t="s">
        <v>188</v>
      </c>
      <c r="C15" s="93">
        <f>C4/C$11</f>
        <v>1.834862385321101E-2</v>
      </c>
      <c r="D15" s="93">
        <f t="shared" ref="D15:E15" si="0">D4/D$11</f>
        <v>1.982142857142857E-2</v>
      </c>
      <c r="E15" s="93">
        <f t="shared" si="0"/>
        <v>1.8584070796460177E-2</v>
      </c>
      <c r="F15" s="36" t="s">
        <v>224</v>
      </c>
      <c r="G15" s="36"/>
      <c r="H15" s="90" t="s">
        <v>188</v>
      </c>
      <c r="I15" s="93">
        <f>AVERAGE(C15:E15)</f>
        <v>1.8918041073699921E-2</v>
      </c>
      <c r="J15" s="95" t="s">
        <v>201</v>
      </c>
      <c r="K15" s="95" t="s">
        <v>202</v>
      </c>
    </row>
    <row r="16" spans="2:11" x14ac:dyDescent="0.2">
      <c r="B16" s="90" t="s">
        <v>189</v>
      </c>
      <c r="C16" s="93">
        <f>C5/C$9</f>
        <v>2.7272727272727271E-2</v>
      </c>
      <c r="D16" s="93">
        <f t="shared" ref="D16:E16" si="1">D5/D$9</f>
        <v>2.4666666666666667E-2</v>
      </c>
      <c r="E16" s="93">
        <f t="shared" si="1"/>
        <v>2.5064935064935064E-2</v>
      </c>
      <c r="F16" s="36" t="s">
        <v>225</v>
      </c>
      <c r="G16" s="36"/>
      <c r="H16" s="90" t="s">
        <v>189</v>
      </c>
      <c r="I16" s="93">
        <f>AVERAGE(C16:E16)</f>
        <v>2.566810966810967E-2</v>
      </c>
      <c r="J16" s="95" t="s">
        <v>201</v>
      </c>
      <c r="K16" s="95" t="s">
        <v>202</v>
      </c>
    </row>
    <row r="17" spans="2:12" x14ac:dyDescent="0.2">
      <c r="B17" s="90" t="s">
        <v>190</v>
      </c>
      <c r="C17" s="93">
        <f>C6/C$9</f>
        <v>0.27272727272727271</v>
      </c>
      <c r="D17" s="93">
        <f t="shared" ref="D17:E17" si="2">D6/D$9</f>
        <v>7.9166666666666663E-2</v>
      </c>
      <c r="E17" s="93">
        <f t="shared" si="2"/>
        <v>7.792207792207792E-2</v>
      </c>
      <c r="F17" s="36" t="s">
        <v>226</v>
      </c>
      <c r="G17" s="36"/>
      <c r="H17" s="90" t="s">
        <v>190</v>
      </c>
      <c r="I17" s="93">
        <f>AVERAGE(D17:E17)</f>
        <v>7.8544372294372292E-2</v>
      </c>
      <c r="J17" s="95" t="s">
        <v>203</v>
      </c>
      <c r="K17" s="95" t="s">
        <v>204</v>
      </c>
    </row>
    <row r="18" spans="2:12" ht="17" thickBot="1" x14ac:dyDescent="0.25">
      <c r="B18" s="90" t="s">
        <v>191</v>
      </c>
      <c r="C18" s="93">
        <f>C7/C$10</f>
        <v>8.1518481518481525E-2</v>
      </c>
      <c r="D18" s="93">
        <f>D7/D$10</f>
        <v>7.1150097465886936E-2</v>
      </c>
      <c r="E18" s="93">
        <f>E7/E$10</f>
        <v>6.210221793635487E-2</v>
      </c>
      <c r="F18" s="36" t="s">
        <v>196</v>
      </c>
      <c r="G18" s="36"/>
      <c r="H18" s="96" t="s">
        <v>191</v>
      </c>
      <c r="I18" s="97">
        <f>E18</f>
        <v>6.210221793635487E-2</v>
      </c>
      <c r="J18" s="98" t="s">
        <v>205</v>
      </c>
      <c r="K18" s="98" t="s">
        <v>206</v>
      </c>
    </row>
    <row r="19" spans="2:12" ht="17" thickTop="1" x14ac:dyDescent="0.2">
      <c r="B19" s="90"/>
      <c r="C19" s="91"/>
      <c r="D19" s="91"/>
      <c r="E19" s="91"/>
      <c r="H19" s="89" t="s">
        <v>10</v>
      </c>
      <c r="I19" s="99">
        <f>SUM(I15:I18)</f>
        <v>0.18523274097253675</v>
      </c>
      <c r="J19" s="100" t="s">
        <v>207</v>
      </c>
    </row>
    <row r="20" spans="2:12" ht="36" customHeight="1" x14ac:dyDescent="0.2">
      <c r="B20" s="106" t="s">
        <v>223</v>
      </c>
      <c r="C20" s="106"/>
      <c r="D20" s="106"/>
      <c r="E20" s="106"/>
      <c r="F20" s="106"/>
    </row>
    <row r="21" spans="2:12" x14ac:dyDescent="0.2">
      <c r="B21" s="3" t="s">
        <v>200</v>
      </c>
      <c r="H21" s="15" t="s">
        <v>209</v>
      </c>
    </row>
    <row r="22" spans="2:12" x14ac:dyDescent="0.2">
      <c r="H22" t="s">
        <v>210</v>
      </c>
    </row>
    <row r="24" spans="2:12" x14ac:dyDescent="0.2">
      <c r="B24" s="89" t="s">
        <v>211</v>
      </c>
      <c r="C24" s="89" t="s">
        <v>212</v>
      </c>
      <c r="I24" s="15" t="s">
        <v>217</v>
      </c>
      <c r="J24" s="15" t="s">
        <v>218</v>
      </c>
      <c r="K24" s="15" t="s">
        <v>217</v>
      </c>
      <c r="L24" s="15" t="s">
        <v>218</v>
      </c>
    </row>
    <row r="25" spans="2:12" x14ac:dyDescent="0.2">
      <c r="B25" s="90" t="s">
        <v>213</v>
      </c>
      <c r="C25" s="101">
        <v>0.6</v>
      </c>
      <c r="H25" s="90" t="s">
        <v>188</v>
      </c>
      <c r="I25" s="102">
        <f>$I15*$C25</f>
        <v>1.1350824644219952E-2</v>
      </c>
      <c r="J25" s="102">
        <f>$I15*(1-$C25)</f>
        <v>7.5672164294799688E-3</v>
      </c>
      <c r="K25" s="36" t="s">
        <v>219</v>
      </c>
      <c r="L25" s="36" t="s">
        <v>220</v>
      </c>
    </row>
    <row r="26" spans="2:12" x14ac:dyDescent="0.2">
      <c r="B26" s="90" t="s">
        <v>214</v>
      </c>
      <c r="C26" s="101">
        <v>0.4</v>
      </c>
      <c r="H26" s="90" t="s">
        <v>189</v>
      </c>
      <c r="I26" s="102">
        <f t="shared" ref="I26:I28" si="3">$I16*$C26</f>
        <v>1.0267243867243869E-2</v>
      </c>
      <c r="J26" s="102">
        <f t="shared" ref="J26:J28" si="4">$I16*(1-$C26)</f>
        <v>1.54008658008658E-2</v>
      </c>
    </row>
    <row r="27" spans="2:12" x14ac:dyDescent="0.2">
      <c r="B27" s="90" t="s">
        <v>215</v>
      </c>
      <c r="C27" s="101">
        <v>0</v>
      </c>
      <c r="H27" s="90" t="s">
        <v>190</v>
      </c>
      <c r="I27" s="102">
        <f t="shared" si="3"/>
        <v>0</v>
      </c>
      <c r="J27" s="102">
        <f t="shared" si="4"/>
        <v>7.8544372294372292E-2</v>
      </c>
    </row>
    <row r="28" spans="2:12" ht="17" thickBot="1" x14ac:dyDescent="0.25">
      <c r="B28" s="90" t="s">
        <v>216</v>
      </c>
      <c r="C28" s="101">
        <v>0.3</v>
      </c>
      <c r="H28" s="96" t="s">
        <v>191</v>
      </c>
      <c r="I28" s="103">
        <f t="shared" si="3"/>
        <v>1.863066538090646E-2</v>
      </c>
      <c r="J28" s="103">
        <f t="shared" si="4"/>
        <v>4.3471552555448406E-2</v>
      </c>
      <c r="K28" s="104"/>
      <c r="L28" s="104"/>
    </row>
    <row r="29" spans="2:12" ht="17" thickTop="1" x14ac:dyDescent="0.2">
      <c r="H29" s="89" t="s">
        <v>10</v>
      </c>
      <c r="I29" s="99">
        <f>SUM(I25:I28)</f>
        <v>4.0248733892370284E-2</v>
      </c>
      <c r="J29" s="99">
        <f>SUM(J25:J28)</f>
        <v>0.14498400708016645</v>
      </c>
      <c r="K29" s="36" t="s">
        <v>222</v>
      </c>
      <c r="L29" s="105" t="s">
        <v>221</v>
      </c>
    </row>
    <row r="33" spans="17:26" x14ac:dyDescent="0.2">
      <c r="Q33" s="83"/>
      <c r="R33" s="92" t="s">
        <v>187</v>
      </c>
      <c r="S33" s="92"/>
      <c r="U33" s="15" t="s">
        <v>232</v>
      </c>
      <c r="V33" s="36" t="s">
        <v>239</v>
      </c>
      <c r="W33" s="36" t="s">
        <v>240</v>
      </c>
      <c r="X33" s="114"/>
      <c r="Y33" s="36" t="s">
        <v>241</v>
      </c>
    </row>
    <row r="34" spans="17:26" x14ac:dyDescent="0.2">
      <c r="Q34" s="83"/>
      <c r="R34" s="89">
        <v>2003</v>
      </c>
      <c r="S34" s="89">
        <v>2004</v>
      </c>
      <c r="U34" s="15" t="s">
        <v>237</v>
      </c>
      <c r="V34" s="15" t="s">
        <v>233</v>
      </c>
      <c r="W34" s="15" t="s">
        <v>234</v>
      </c>
      <c r="X34" s="15" t="s">
        <v>235</v>
      </c>
      <c r="Y34" s="15" t="s">
        <v>236</v>
      </c>
    </row>
    <row r="35" spans="17:26" x14ac:dyDescent="0.2">
      <c r="Q35" s="90" t="s">
        <v>191</v>
      </c>
      <c r="R35" s="91">
        <v>25000</v>
      </c>
      <c r="S35" s="91">
        <v>28000</v>
      </c>
      <c r="U35">
        <v>2003</v>
      </c>
      <c r="V35" s="53">
        <f>R35/R37</f>
        <v>40</v>
      </c>
      <c r="W35" s="53">
        <f>V35*R36</f>
        <v>30</v>
      </c>
      <c r="X35">
        <v>3</v>
      </c>
      <c r="Y35" s="113">
        <f>W35*(1+$R$47)^X35</f>
        <v>32.78181</v>
      </c>
    </row>
    <row r="36" spans="17:26" ht="17" thickBot="1" x14ac:dyDescent="0.25">
      <c r="Q36" s="90" t="s">
        <v>227</v>
      </c>
      <c r="R36" s="101">
        <v>0.75</v>
      </c>
      <c r="S36" s="101">
        <v>0.75</v>
      </c>
      <c r="U36" s="104">
        <v>2004</v>
      </c>
      <c r="V36" s="111">
        <f>S35/S37</f>
        <v>43.410852713178294</v>
      </c>
      <c r="W36" s="111">
        <f>V36*S36</f>
        <v>32.558139534883722</v>
      </c>
      <c r="X36" s="112">
        <f>X35-1</f>
        <v>2</v>
      </c>
      <c r="Y36" s="111">
        <f>W36*(1+$R$47)^X36</f>
        <v>34.540930232558139</v>
      </c>
      <c r="Z36" s="104"/>
    </row>
    <row r="37" spans="17:26" ht="17" thickTop="1" x14ac:dyDescent="0.2">
      <c r="Q37" s="90" t="s">
        <v>228</v>
      </c>
      <c r="R37" s="90">
        <v>625</v>
      </c>
      <c r="S37" s="90">
        <v>645</v>
      </c>
      <c r="X37" s="15" t="s">
        <v>238</v>
      </c>
      <c r="Y37" s="115">
        <f>AVERAGE(Y35:Y36)</f>
        <v>33.661370116279073</v>
      </c>
      <c r="Z37" s="36" t="s">
        <v>243</v>
      </c>
    </row>
    <row r="38" spans="17:26" x14ac:dyDescent="0.2">
      <c r="Q38" s="90" t="s">
        <v>229</v>
      </c>
      <c r="R38" s="90">
        <v>640</v>
      </c>
      <c r="S38" s="90">
        <v>700</v>
      </c>
    </row>
    <row r="39" spans="17:26" x14ac:dyDescent="0.2">
      <c r="Q39" s="90" t="s">
        <v>194</v>
      </c>
      <c r="R39" s="91">
        <v>435000</v>
      </c>
      <c r="S39" s="91">
        <v>450000</v>
      </c>
      <c r="X39" s="15" t="s">
        <v>10</v>
      </c>
      <c r="Y39" s="58">
        <f>Y37+SUM(R43:R45)</f>
        <v>96.161370116279073</v>
      </c>
      <c r="Z39" s="36" t="s">
        <v>242</v>
      </c>
    </row>
    <row r="40" spans="17:26" x14ac:dyDescent="0.2">
      <c r="Q40" s="90" t="s">
        <v>195</v>
      </c>
      <c r="R40" s="91">
        <v>460000</v>
      </c>
      <c r="S40" s="90" t="s">
        <v>230</v>
      </c>
    </row>
    <row r="41" spans="17:26" x14ac:dyDescent="0.2">
      <c r="U41" s="15" t="s">
        <v>245</v>
      </c>
      <c r="V41" s="36" t="s">
        <v>251</v>
      </c>
      <c r="W41" s="36" t="s">
        <v>252</v>
      </c>
    </row>
    <row r="42" spans="17:26" x14ac:dyDescent="0.2">
      <c r="Q42" s="89" t="s">
        <v>231</v>
      </c>
      <c r="R42" s="89" t="s">
        <v>217</v>
      </c>
      <c r="S42" s="89" t="s">
        <v>218</v>
      </c>
      <c r="U42" s="89" t="s">
        <v>237</v>
      </c>
      <c r="V42" s="89" t="s">
        <v>250</v>
      </c>
      <c r="W42" s="89" t="s">
        <v>246</v>
      </c>
    </row>
    <row r="43" spans="17:26" x14ac:dyDescent="0.2">
      <c r="Q43" s="90" t="s">
        <v>213</v>
      </c>
      <c r="R43" s="91">
        <v>60</v>
      </c>
      <c r="S43" s="107">
        <v>2.5000000000000001E-2</v>
      </c>
      <c r="U43">
        <v>2003</v>
      </c>
      <c r="V43" s="63">
        <f>R35*(1-R36)</f>
        <v>6250</v>
      </c>
      <c r="W43" s="116">
        <f>V43/R39</f>
        <v>1.4367816091954023E-2</v>
      </c>
      <c r="X43" t="s">
        <v>247</v>
      </c>
    </row>
    <row r="44" spans="17:26" ht="17" thickBot="1" x14ac:dyDescent="0.25">
      <c r="Q44" s="90" t="s">
        <v>214</v>
      </c>
      <c r="R44" s="109">
        <v>2.5</v>
      </c>
      <c r="S44" s="107">
        <v>0.02</v>
      </c>
      <c r="U44" s="104">
        <v>2004</v>
      </c>
      <c r="V44" s="120">
        <f>S35*(1-S36)</f>
        <v>7000</v>
      </c>
      <c r="W44" s="118">
        <f>V44/S39</f>
        <v>1.5555555555555555E-2</v>
      </c>
      <c r="X44" s="121"/>
    </row>
    <row r="45" spans="17:26" ht="17" thickTop="1" x14ac:dyDescent="0.2">
      <c r="Q45" s="90" t="s">
        <v>215</v>
      </c>
      <c r="R45" s="90">
        <v>0</v>
      </c>
      <c r="S45" s="107">
        <v>0.12</v>
      </c>
      <c r="V45" s="15" t="s">
        <v>238</v>
      </c>
      <c r="W45" s="117">
        <f>AVERAGE(W43:W44)</f>
        <v>1.4961685823754789E-2</v>
      </c>
      <c r="X45" s="36" t="s">
        <v>248</v>
      </c>
    </row>
    <row r="47" spans="17:26" x14ac:dyDescent="0.2">
      <c r="Q47" s="89" t="s">
        <v>244</v>
      </c>
      <c r="R47" s="19">
        <v>0.03</v>
      </c>
      <c r="V47" s="15" t="s">
        <v>10</v>
      </c>
      <c r="W47" s="119">
        <f>W45+SUM(S43:S45)</f>
        <v>0.17996168582375477</v>
      </c>
      <c r="X47" s="36" t="s">
        <v>249</v>
      </c>
    </row>
    <row r="49" spans="32:42" x14ac:dyDescent="0.2">
      <c r="AJ49" s="15" t="s">
        <v>257</v>
      </c>
      <c r="AM49" s="36" t="s">
        <v>271</v>
      </c>
      <c r="AN49" t="s">
        <v>263</v>
      </c>
    </row>
    <row r="50" spans="32:42" x14ac:dyDescent="0.2">
      <c r="AG50" s="89" t="s">
        <v>253</v>
      </c>
      <c r="AH50" s="89" t="s">
        <v>212</v>
      </c>
      <c r="AK50" s="15" t="s">
        <v>260</v>
      </c>
      <c r="AL50" s="15" t="s">
        <v>258</v>
      </c>
      <c r="AM50" s="15" t="s">
        <v>234</v>
      </c>
      <c r="AN50" s="15" t="s">
        <v>268</v>
      </c>
      <c r="AO50" s="15" t="s">
        <v>264</v>
      </c>
    </row>
    <row r="51" spans="32:42" x14ac:dyDescent="0.2">
      <c r="AF51" s="90" t="s">
        <v>216</v>
      </c>
      <c r="AG51" s="91">
        <v>15000</v>
      </c>
      <c r="AH51" s="101">
        <v>0.5</v>
      </c>
      <c r="AJ51" s="90" t="s">
        <v>216</v>
      </c>
      <c r="AK51" s="108" t="s">
        <v>261</v>
      </c>
      <c r="AL51" s="113">
        <f>AG51/AG57</f>
        <v>11.673151750972762</v>
      </c>
      <c r="AM51" s="113">
        <f>AL51*AH51</f>
        <v>5.836575875486381</v>
      </c>
      <c r="AN51">
        <v>2.5</v>
      </c>
      <c r="AO51" s="113">
        <f>AM51*(1+$AG$60)^AN51</f>
        <v>6.1327966563454703</v>
      </c>
      <c r="AP51" s="36" t="s">
        <v>275</v>
      </c>
    </row>
    <row r="52" spans="32:42" x14ac:dyDescent="0.2">
      <c r="AF52" s="90" t="s">
        <v>213</v>
      </c>
      <c r="AG52" s="91">
        <v>38125</v>
      </c>
      <c r="AH52" s="101">
        <v>0.2</v>
      </c>
      <c r="AJ52" s="90" t="s">
        <v>213</v>
      </c>
      <c r="AK52" s="108" t="s">
        <v>262</v>
      </c>
      <c r="AL52" s="113">
        <f>AG52/$AG$58</f>
        <v>28.838880484114977</v>
      </c>
      <c r="AM52" s="113">
        <f>AL52*AH52</f>
        <v>5.7677760968229954</v>
      </c>
      <c r="AN52">
        <v>2</v>
      </c>
      <c r="AO52" s="113">
        <f>AM52*(1+$AG$60)^AN52</f>
        <v>6.0007942511346446</v>
      </c>
    </row>
    <row r="53" spans="32:42" x14ac:dyDescent="0.2">
      <c r="AF53" s="90" t="s">
        <v>214</v>
      </c>
      <c r="AG53" s="91">
        <v>11000</v>
      </c>
      <c r="AH53" s="101">
        <v>0.4</v>
      </c>
      <c r="AJ53" s="90" t="s">
        <v>214</v>
      </c>
      <c r="AK53" s="108" t="s">
        <v>262</v>
      </c>
      <c r="AL53" s="113">
        <f>AG53/$AG$58</f>
        <v>8.3207261724659602</v>
      </c>
      <c r="AM53" s="113">
        <f>AL53*AH53</f>
        <v>3.3282904689863844</v>
      </c>
      <c r="AN53">
        <v>2</v>
      </c>
      <c r="AO53" s="113">
        <f>AM53*(1+$AG$60)^AN53</f>
        <v>3.4627534039334344</v>
      </c>
    </row>
    <row r="54" spans="32:42" ht="17" thickBot="1" x14ac:dyDescent="0.25">
      <c r="AF54" s="90" t="s">
        <v>215</v>
      </c>
      <c r="AG54" s="91">
        <v>1525</v>
      </c>
      <c r="AH54" s="101">
        <v>0.1</v>
      </c>
      <c r="AJ54" s="96" t="s">
        <v>215</v>
      </c>
      <c r="AK54" s="110" t="s">
        <v>262</v>
      </c>
      <c r="AL54" s="111">
        <f>AG54/$AG$58</f>
        <v>1.153555219364599</v>
      </c>
      <c r="AM54" s="111">
        <f>AL54*AH54</f>
        <v>0.11535552193645991</v>
      </c>
      <c r="AN54" s="104">
        <v>2</v>
      </c>
      <c r="AO54" s="111">
        <f>AM54*(1+$AG$60)^AN54</f>
        <v>0.12001588502269289</v>
      </c>
      <c r="AP54" s="104"/>
    </row>
    <row r="55" spans="32:42" ht="17" thickTop="1" x14ac:dyDescent="0.2">
      <c r="AF55" s="90" t="s">
        <v>254</v>
      </c>
      <c r="AG55" s="91">
        <v>385000</v>
      </c>
      <c r="AH55" s="90"/>
      <c r="AN55" s="15" t="s">
        <v>10</v>
      </c>
      <c r="AO55" s="58">
        <f>SUM(AO51:AO54)</f>
        <v>15.716360196436241</v>
      </c>
      <c r="AP55" s="36" t="s">
        <v>265</v>
      </c>
    </row>
    <row r="56" spans="32:42" x14ac:dyDescent="0.2">
      <c r="AF56" s="90" t="s">
        <v>255</v>
      </c>
      <c r="AG56" s="91">
        <v>400000</v>
      </c>
      <c r="AH56" s="90"/>
      <c r="AL56" s="36" t="s">
        <v>272</v>
      </c>
    </row>
    <row r="57" spans="32:42" x14ac:dyDescent="0.2">
      <c r="AF57" s="90" t="s">
        <v>149</v>
      </c>
      <c r="AG57" s="122">
        <v>1285</v>
      </c>
      <c r="AH57" s="90"/>
      <c r="AJ57" s="123" t="s">
        <v>266</v>
      </c>
      <c r="AK57" s="15" t="s">
        <v>260</v>
      </c>
      <c r="AL57" s="124" t="s">
        <v>250</v>
      </c>
      <c r="AM57" s="15" t="s">
        <v>246</v>
      </c>
    </row>
    <row r="58" spans="32:42" x14ac:dyDescent="0.2">
      <c r="AF58" s="90" t="s">
        <v>256</v>
      </c>
      <c r="AG58" s="122">
        <v>1322</v>
      </c>
      <c r="AH58" s="90"/>
      <c r="AJ58" s="90" t="s">
        <v>216</v>
      </c>
      <c r="AK58" s="108" t="s">
        <v>49</v>
      </c>
      <c r="AL58" s="53">
        <f>AG51*(1-AH51)</f>
        <v>7500</v>
      </c>
      <c r="AM58" s="125">
        <f>AL58/AG55</f>
        <v>1.948051948051948E-2</v>
      </c>
      <c r="AN58" s="36" t="s">
        <v>273</v>
      </c>
    </row>
    <row r="59" spans="32:42" x14ac:dyDescent="0.2">
      <c r="AJ59" s="90" t="s">
        <v>213</v>
      </c>
      <c r="AK59" s="108" t="s">
        <v>259</v>
      </c>
      <c r="AL59" s="53">
        <f>AG52*(1-AH52)</f>
        <v>30500</v>
      </c>
      <c r="AM59" s="125">
        <f>AL59/$AG$56</f>
        <v>7.6249999999999998E-2</v>
      </c>
      <c r="AN59" s="36" t="s">
        <v>274</v>
      </c>
    </row>
    <row r="60" spans="32:42" x14ac:dyDescent="0.2">
      <c r="AF60" s="89" t="s">
        <v>244</v>
      </c>
      <c r="AG60" s="19">
        <v>0.02</v>
      </c>
      <c r="AJ60" s="90" t="s">
        <v>214</v>
      </c>
      <c r="AK60" s="108" t="s">
        <v>259</v>
      </c>
      <c r="AL60" s="53">
        <f>AG53*(1-AH53)</f>
        <v>6600</v>
      </c>
      <c r="AM60" s="125">
        <f>AL60/$AG$56</f>
        <v>1.6500000000000001E-2</v>
      </c>
    </row>
    <row r="61" spans="32:42" ht="17" thickBot="1" x14ac:dyDescent="0.25">
      <c r="AF61" s="90" t="s">
        <v>270</v>
      </c>
      <c r="AG61" s="19">
        <v>0.08</v>
      </c>
      <c r="AJ61" s="96" t="s">
        <v>215</v>
      </c>
      <c r="AK61" s="110" t="s">
        <v>259</v>
      </c>
      <c r="AL61" s="126">
        <f>AG54*(1-AH54)</f>
        <v>1372.5</v>
      </c>
      <c r="AM61" s="127">
        <f>AL61/$AG$56</f>
        <v>3.4312499999999998E-3</v>
      </c>
      <c r="AN61" s="104"/>
    </row>
    <row r="62" spans="32:42" ht="17" thickTop="1" x14ac:dyDescent="0.2">
      <c r="AL62" s="15" t="s">
        <v>10</v>
      </c>
      <c r="AM62" s="128">
        <f>SUM(AM58:AM61)</f>
        <v>0.11566176948051947</v>
      </c>
      <c r="AN62" s="36" t="s">
        <v>267</v>
      </c>
    </row>
    <row r="64" spans="32:42" x14ac:dyDescent="0.2">
      <c r="AJ64" s="123" t="s">
        <v>269</v>
      </c>
      <c r="AK64" s="99">
        <f>1-AM62-AG61</f>
        <v>0.80433823051948061</v>
      </c>
      <c r="AL64" s="36" t="s">
        <v>276</v>
      </c>
    </row>
    <row r="66" spans="36:40" x14ac:dyDescent="0.2">
      <c r="AJ66" s="15" t="s">
        <v>277</v>
      </c>
    </row>
    <row r="67" spans="36:40" x14ac:dyDescent="0.2">
      <c r="AJ67" s="123" t="s">
        <v>266</v>
      </c>
      <c r="AK67" s="15" t="s">
        <v>260</v>
      </c>
      <c r="AL67" s="124" t="s">
        <v>234</v>
      </c>
      <c r="AM67" s="15" t="s">
        <v>246</v>
      </c>
    </row>
    <row r="68" spans="36:40" x14ac:dyDescent="0.2">
      <c r="AJ68" s="90" t="s">
        <v>216</v>
      </c>
      <c r="AK68" s="108" t="s">
        <v>49</v>
      </c>
      <c r="AL68" s="53">
        <f>AG51*AH51</f>
        <v>7500</v>
      </c>
      <c r="AM68" s="125">
        <f>AL68/AG55</f>
        <v>1.948051948051948E-2</v>
      </c>
      <c r="AN68" s="36" t="s">
        <v>278</v>
      </c>
    </row>
    <row r="69" spans="36:40" x14ac:dyDescent="0.2">
      <c r="AJ69" s="90" t="s">
        <v>213</v>
      </c>
      <c r="AK69" s="108" t="s">
        <v>259</v>
      </c>
      <c r="AL69" s="53">
        <f t="shared" ref="AL69:AL71" si="5">AG52*AH52</f>
        <v>7625</v>
      </c>
      <c r="AM69" s="125">
        <f>AL69/$AG$56</f>
        <v>1.90625E-2</v>
      </c>
      <c r="AN69" s="36" t="s">
        <v>279</v>
      </c>
    </row>
    <row r="70" spans="36:40" x14ac:dyDescent="0.2">
      <c r="AJ70" s="90" t="s">
        <v>214</v>
      </c>
      <c r="AK70" s="108" t="s">
        <v>259</v>
      </c>
      <c r="AL70" s="53">
        <f t="shared" si="5"/>
        <v>4400</v>
      </c>
      <c r="AM70" s="125">
        <f>AL70/$AG$56</f>
        <v>1.0999999999999999E-2</v>
      </c>
    </row>
    <row r="71" spans="36:40" ht="17" thickBot="1" x14ac:dyDescent="0.25">
      <c r="AJ71" s="96" t="s">
        <v>215</v>
      </c>
      <c r="AK71" s="110" t="s">
        <v>259</v>
      </c>
      <c r="AL71" s="126">
        <f t="shared" si="5"/>
        <v>152.5</v>
      </c>
      <c r="AM71" s="127">
        <f>AL71/$AG$56</f>
        <v>3.8125000000000002E-4</v>
      </c>
      <c r="AN71" s="104"/>
    </row>
    <row r="72" spans="36:40" ht="17" thickTop="1" x14ac:dyDescent="0.2">
      <c r="AL72" s="15" t="s">
        <v>10</v>
      </c>
      <c r="AM72" s="128">
        <f>SUM(AM68:AM71)</f>
        <v>4.9924269480519479E-2</v>
      </c>
      <c r="AN72" s="36" t="s">
        <v>280</v>
      </c>
    </row>
    <row r="74" spans="36:40" x14ac:dyDescent="0.2">
      <c r="AJ74" s="123" t="s">
        <v>281</v>
      </c>
      <c r="AK74" s="99">
        <f>1-AM72-AM62-AG61</f>
        <v>0.75441396103896108</v>
      </c>
      <c r="AL74" s="36" t="s">
        <v>282</v>
      </c>
    </row>
  </sheetData>
  <mergeCells count="7">
    <mergeCell ref="B20:F20"/>
    <mergeCell ref="R33:S33"/>
    <mergeCell ref="Q33:Q34"/>
    <mergeCell ref="C2:E2"/>
    <mergeCell ref="B2:B3"/>
    <mergeCell ref="B13:B14"/>
    <mergeCell ref="C13:E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2.2.1</vt:lpstr>
      <vt:lpstr>2.2.2</vt:lpstr>
      <vt:lpstr>2.3.1</vt:lpstr>
      <vt:lpstr>2.3.3</vt:lpstr>
      <vt:lpstr>2.4.3</vt:lpstr>
      <vt:lpstr>2.5.3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Gearhart, Colton</dc:creator>
  <cp:lastModifiedBy>Gearhart, Colton</cp:lastModifiedBy>
  <dcterms:created xsi:type="dcterms:W3CDTF">2025-01-24T19:52:59Z</dcterms:created>
  <dcterms:modified xsi:type="dcterms:W3CDTF">2025-04-17T20:56:22Z</dcterms:modified>
</cp:coreProperties>
</file>